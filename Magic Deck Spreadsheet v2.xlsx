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agic\Spreadsheet v2\"/>
    </mc:Choice>
  </mc:AlternateContent>
  <bookViews>
    <workbookView xWindow="0" yWindow="0" windowWidth="28800" windowHeight="12435" activeTab="2"/>
  </bookViews>
  <sheets>
    <sheet name="Input" sheetId="1" r:id="rId1"/>
    <sheet name="Calculations" sheetId="2" r:id="rId2"/>
    <sheet name="Graph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4" i="2" l="1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3" i="2"/>
  <c r="AG4" i="2" l="1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3" i="2"/>
  <c r="AV4" i="2" l="1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V3" i="2"/>
  <c r="AU3" i="2"/>
  <c r="AT4" i="2"/>
  <c r="AT5" i="2"/>
  <c r="AT54" i="2" s="1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3" i="2"/>
  <c r="AS54" i="2" s="1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3" i="2"/>
  <c r="AM4" i="2"/>
  <c r="AM54" i="2" s="1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3" i="2"/>
  <c r="AL54" i="2" l="1"/>
  <c r="AP54" i="2"/>
  <c r="AF54" i="2"/>
  <c r="AQ54" i="2"/>
  <c r="AU54" i="2"/>
  <c r="AV54" i="2"/>
  <c r="AR54" i="2"/>
  <c r="AO54" i="2"/>
  <c r="AN54" i="2"/>
  <c r="AK54" i="2"/>
  <c r="AJ54" i="2"/>
  <c r="AH54" i="2"/>
  <c r="AG54" i="2"/>
  <c r="R60" i="1" l="1"/>
  <c r="I60" i="1"/>
  <c r="AI53" i="2" s="1"/>
  <c r="AI54" i="2" s="1"/>
  <c r="A60" i="1"/>
  <c r="G2" i="1" s="1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V3" i="2"/>
  <c r="U3" i="2"/>
  <c r="T3" i="2"/>
  <c r="S3" i="2"/>
  <c r="R3" i="2"/>
  <c r="Q3" i="2"/>
  <c r="Q47" i="2"/>
  <c r="Q48" i="2"/>
  <c r="Q49" i="2"/>
  <c r="Q50" i="2"/>
  <c r="Q51" i="2"/>
  <c r="Q52" i="2"/>
  <c r="Q53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N3" i="2"/>
  <c r="M3" i="2"/>
  <c r="L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4" i="2"/>
  <c r="K5" i="2"/>
  <c r="K3" i="2"/>
  <c r="J3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4" i="2"/>
  <c r="R54" i="2" l="1"/>
  <c r="I4" i="1" s="1"/>
  <c r="E3" i="1"/>
  <c r="B3" i="1"/>
  <c r="E2" i="1" s="1"/>
  <c r="M54" i="2"/>
  <c r="U54" i="2"/>
  <c r="G3" i="1" s="1"/>
  <c r="L54" i="2"/>
  <c r="V54" i="2"/>
  <c r="G5" i="1" s="1"/>
  <c r="T54" i="2"/>
  <c r="I2" i="1" s="1"/>
  <c r="S54" i="2"/>
  <c r="G4" i="1" s="1"/>
  <c r="Q54" i="2"/>
  <c r="I3" i="1" s="1"/>
  <c r="O54" i="2"/>
  <c r="N54" i="2"/>
  <c r="K54" i="2"/>
  <c r="J54" i="2"/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G3" i="2"/>
  <c r="F3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C54" i="2" l="1"/>
  <c r="B54" i="2"/>
  <c r="E54" i="2"/>
  <c r="G54" i="2"/>
  <c r="F54" i="2"/>
  <c r="D54" i="2"/>
  <c r="AD7" i="2" l="1"/>
  <c r="AD5" i="2"/>
  <c r="AD4" i="2"/>
  <c r="AD3" i="2"/>
  <c r="AD6" i="2"/>
  <c r="AB6" i="2"/>
  <c r="AB4" i="2"/>
  <c r="AB5" i="2"/>
  <c r="AB3" i="2"/>
  <c r="AB7" i="2"/>
  <c r="AA4" i="2"/>
  <c r="AA7" i="2"/>
  <c r="AA5" i="2"/>
  <c r="AA3" i="2"/>
  <c r="AA6" i="2"/>
  <c r="Y3" i="2"/>
  <c r="Y6" i="2"/>
  <c r="Y7" i="2"/>
  <c r="Y5" i="2"/>
  <c r="Y4" i="2"/>
  <c r="AC3" i="2"/>
  <c r="AC7" i="2"/>
  <c r="AC6" i="2"/>
  <c r="AC4" i="2"/>
  <c r="AC5" i="2"/>
  <c r="Z7" i="2"/>
  <c r="Z5" i="2"/>
  <c r="Z6" i="2"/>
  <c r="Z3" i="2"/>
  <c r="Z4" i="2"/>
</calcChain>
</file>

<file path=xl/sharedStrings.xml><?xml version="1.0" encoding="utf-8"?>
<sst xmlns="http://schemas.openxmlformats.org/spreadsheetml/2006/main" count="81" uniqueCount="43">
  <si>
    <t>Deck</t>
  </si>
  <si>
    <t>Type</t>
  </si>
  <si>
    <t>Cards</t>
  </si>
  <si>
    <t>Landgain</t>
  </si>
  <si>
    <t>avg mana</t>
  </si>
  <si>
    <t>Lands</t>
  </si>
  <si>
    <t>Creatures</t>
  </si>
  <si>
    <t>Artifacts</t>
  </si>
  <si>
    <t>Enchantments</t>
  </si>
  <si>
    <t>Sorceries</t>
  </si>
  <si>
    <t>Instants</t>
  </si>
  <si>
    <t>Planeswalkers</t>
  </si>
  <si>
    <t>Number</t>
  </si>
  <si>
    <t>Name</t>
  </si>
  <si>
    <t>Colorgain</t>
  </si>
  <si>
    <t>Spells</t>
  </si>
  <si>
    <t>Manacost</t>
  </si>
  <si>
    <t>Precise Cost</t>
  </si>
  <si>
    <t>Color</t>
  </si>
  <si>
    <t>Green</t>
  </si>
  <si>
    <t>Red</t>
  </si>
  <si>
    <t>Blue</t>
  </si>
  <si>
    <t>White</t>
  </si>
  <si>
    <t>Black</t>
  </si>
  <si>
    <t>Colorless</t>
  </si>
  <si>
    <t>Total Sources</t>
  </si>
  <si>
    <t>Sorcery</t>
  </si>
  <si>
    <t>Instant</t>
  </si>
  <si>
    <t>Artifact</t>
  </si>
  <si>
    <t>Enchantment</t>
  </si>
  <si>
    <t>Creature</t>
  </si>
  <si>
    <t>Planeswalker</t>
  </si>
  <si>
    <t>Total Requirement</t>
  </si>
  <si>
    <t>Total Types</t>
  </si>
  <si>
    <t>Hands</t>
  </si>
  <si>
    <t>Mana</t>
  </si>
  <si>
    <t>Turn</t>
  </si>
  <si>
    <t>Mana Cost</t>
  </si>
  <si>
    <t>Mana Curve</t>
  </si>
  <si>
    <t>Mana Hands</t>
  </si>
  <si>
    <t>Mana Requirement</t>
  </si>
  <si>
    <t>Mana Build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</si>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</sst>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0" fillId="0" borderId="0" xfId="0" applyFill="1" applyBorder="1"/>
    <xf numFmtId="9" fontId="0" fillId="0" borderId="0" xfId="1" applyFont="1"/>
    <xf numFmtId="0" fontId="0" fillId="0" borderId="13" xfId="0" applyBorder="1"/>
    <xf numFmtId="0" fontId="0" fillId="0" borderId="12" xfId="0" applyFill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Mana Curve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9486111111111112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Calculations!$AF$55:$AV$55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Calculations!$AF$54:$AV$54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694312"/>
        <c:axId val="381696272"/>
      </c:barChart>
      <c:catAx>
        <c:axId val="381694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Mana Cost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81696272"/>
        <c:crosses val="autoZero"/>
        <c:auto val="1"/>
        <c:lblAlgn val="ctr"/>
        <c:lblOffset val="100"/>
        <c:noMultiLvlLbl val="0"/>
      </c:catAx>
      <c:valAx>
        <c:axId val="38169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81694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Mana Hands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Calculations!$Y$2</c:f>
              <c:strCache>
                <c:ptCount val="1"/>
                <c:pt idx="0">
                  <c:v>Green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Calculations!$X$3:$X$7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Calculations!$Y$3:$Y$7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Calculations!$Z$2</c:f>
              <c:strCache>
                <c:ptCount val="1"/>
                <c:pt idx="0">
                  <c:v>Red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Calculations!$X$3:$X$7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Calculations!$Z$3:$Z$7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Calculations!$AA$2</c:f>
              <c:strCache>
                <c:ptCount val="1"/>
                <c:pt idx="0">
                  <c:v>Blue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Calculations!$X$3:$X$7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Calculations!$AA$3:$AA$7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Calculations!$AB$2</c:f>
              <c:strCache>
                <c:ptCount val="1"/>
                <c:pt idx="0">
                  <c:v>White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Calculations!$X$3:$X$7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Calculations!$AB$3:$AB$7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Calculations!$AC$2</c:f>
              <c:strCache>
                <c:ptCount val="1"/>
                <c:pt idx="0">
                  <c:v>Black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Calculations!$X$3:$X$7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Calculations!$AC$3:$AC$7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Calculations!$AD$2</c:f>
              <c:strCache>
                <c:ptCount val="1"/>
                <c:pt idx="0">
                  <c:v>Colorless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Calculations!$X$3:$X$7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Calculations!$AD$3:$AD$7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361384"/>
        <c:axId val="452360992"/>
      </c:lineChart>
      <c:catAx>
        <c:axId val="452361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Turn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52360992"/>
        <c:crosses val="autoZero"/>
        <c:auto val="1"/>
        <c:lblAlgn val="ctr"/>
        <c:lblOffset val="100"/>
        <c:noMultiLvlLbl val="0"/>
      </c:catAx>
      <c:valAx>
        <c:axId val="45236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Chance for Colored Mana</a:t>
                </a:r>
              </a:p>
            </c:rich>
          </c:tx>
          <c:layout>
            <c:manualLayout>
              <c:xMode val="edge"/>
              <c:yMode val="edge"/>
              <c:x val="2.0442930153321975E-2"/>
              <c:y val="0.371521037945012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52361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285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Mana Build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solidFill>
                  <a:schemeClr val="accent5"/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  <a:effectLst/>
            </c:spPr>
          </c:dPt>
          <c:cat>
            <c:strRef>
              <c:f>Calculations!$B$55:$G$55</c:f>
              <c:strCache>
                <c:ptCount val="6"/>
                <c:pt idx="0">
                  <c:v>Green</c:v>
                </c:pt>
                <c:pt idx="1">
                  <c:v>Red</c:v>
                </c:pt>
                <c:pt idx="2">
                  <c:v>Blue</c:v>
                </c:pt>
                <c:pt idx="3">
                  <c:v>White</c:v>
                </c:pt>
                <c:pt idx="4">
                  <c:v>Black</c:v>
                </c:pt>
                <c:pt idx="5">
                  <c:v>Colorless</c:v>
                </c:pt>
              </c:strCache>
            </c:strRef>
          </c:cat>
          <c:val>
            <c:numRef>
              <c:f>Calculations!$B$54:$G$54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8875976"/>
        <c:axId val="388879504"/>
      </c:barChart>
      <c:catAx>
        <c:axId val="388875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88879504"/>
        <c:crosses val="autoZero"/>
        <c:auto val="1"/>
        <c:lblAlgn val="ctr"/>
        <c:lblOffset val="100"/>
        <c:noMultiLvlLbl val="0"/>
      </c:catAx>
      <c:valAx>
        <c:axId val="38887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88875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Mana Requirement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solidFill>
                  <a:schemeClr val="accent5"/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  <a:effectLst/>
            </c:spPr>
          </c:dPt>
          <c:cat>
            <c:strRef>
              <c:f>Calculations!$J$55:$O$55</c:f>
              <c:strCache>
                <c:ptCount val="6"/>
                <c:pt idx="0">
                  <c:v>Green</c:v>
                </c:pt>
                <c:pt idx="1">
                  <c:v>Red</c:v>
                </c:pt>
                <c:pt idx="2">
                  <c:v>Blue</c:v>
                </c:pt>
                <c:pt idx="3">
                  <c:v>White</c:v>
                </c:pt>
                <c:pt idx="4">
                  <c:v>Black</c:v>
                </c:pt>
                <c:pt idx="5">
                  <c:v>Colorless</c:v>
                </c:pt>
              </c:strCache>
            </c:strRef>
          </c:cat>
          <c:val>
            <c:numRef>
              <c:f>Calculations!$J$54:$O$54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069776"/>
        <c:axId val="88065856"/>
      </c:barChart>
      <c:catAx>
        <c:axId val="8806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8065856"/>
        <c:crosses val="autoZero"/>
        <c:auto val="1"/>
        <c:lblAlgn val="ctr"/>
        <c:lblOffset val="100"/>
        <c:noMultiLvlLbl val="0"/>
      </c:catAx>
      <c:valAx>
        <c:axId val="8806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806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tx>
            <c:v>Build</c:v>
          </c:tx>
          <c:spPr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</c:spPr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bg1"/>
              </a:solidFill>
              <a:ln w="19050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tx1"/>
              </a:solidFill>
              <a:ln w="19050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>
                <a:softEdge rad="0"/>
              </a:effectLst>
            </c:spPr>
          </c:dPt>
          <c:dLbls>
            <c:dLbl>
              <c:idx val="0"/>
              <c:layout>
                <c:manualLayout>
                  <c:x val="0.27500000000000008"/>
                  <c:y val="-0.1111111111111111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30277777777777776"/>
                  <c:y val="0.10648148148148148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24722222222222223"/>
                  <c:y val="0.31481481481481483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24166666666666667"/>
                  <c:y val="0.33333333333333331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22222222222222221"/>
                  <c:y val="-0.1111111111111111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showLegendKey val="0"/>
            <c:showVal val="0"/>
            <c:showCatName val="1"/>
            <c:showSerName val="1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Calculations!$B$55:$F$55</c:f>
              <c:strCache>
                <c:ptCount val="5"/>
                <c:pt idx="0">
                  <c:v>Green</c:v>
                </c:pt>
                <c:pt idx="1">
                  <c:v>Red</c:v>
                </c:pt>
                <c:pt idx="2">
                  <c:v>Blue</c:v>
                </c:pt>
                <c:pt idx="3">
                  <c:v>White</c:v>
                </c:pt>
                <c:pt idx="4">
                  <c:v>Black</c:v>
                </c:pt>
              </c:strCache>
            </c:strRef>
          </c:cat>
          <c:val>
            <c:numRef>
              <c:f>Calculations!$B$54:$F$54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Requirement</c:v>
          </c:tx>
          <c:spPr>
            <a:effectLst/>
          </c:spPr>
          <c:explosion val="5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accent6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accent5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5"/>
                  <c:y val="-6.0185185185185182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8333333333333313"/>
                  <c:y val="-5.0925925925925923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29444444444444445"/>
                  <c:y val="0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5000000000000002"/>
                  <c:y val="0.16666666666666657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16111111111111115"/>
                  <c:y val="-7.4074074074074098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showLegendKey val="0"/>
            <c:showVal val="0"/>
            <c:showCatName val="1"/>
            <c:showSerName val="1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Calculations!$J$54:$N$54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14285</xdr:rowOff>
    </xdr:from>
    <xdr:to>
      <xdr:col>10</xdr:col>
      <xdr:colOff>200025</xdr:colOff>
      <xdr:row>20</xdr:row>
      <xdr:rowOff>85724</xdr:rowOff>
    </xdr:to>
    <xdr:graphicFrame macro="">
      <xdr:nvGraphicFramePr>
        <xdr:cNvPr id="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609599</xdr:colOff>
      <xdr:row>1</xdr:row>
      <xdr:rowOff>33336</xdr:rowOff>
    </xdr:from>
    <xdr:to>
      <xdr:col>20</xdr:col>
      <xdr:colOff>542924</xdr:colOff>
      <xdr:row>19</xdr:row>
      <xdr:rowOff>190499</xdr:rowOff>
    </xdr:to>
    <xdr:graphicFrame macro="">
      <xdr:nvGraphicFramePr>
        <xdr:cNvPr id="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23812</xdr:rowOff>
    </xdr:from>
    <xdr:to>
      <xdr:col>7</xdr:col>
      <xdr:colOff>152400</xdr:colOff>
      <xdr:row>36</xdr:row>
      <xdr:rowOff>100012</xdr:rowOff>
    </xdr:to>
    <xdr:graphicFrame macro="">
      <xdr:nvGraphicFramePr>
        <xdr:cNvPr id="10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4762</xdr:colOff>
      <xdr:row>22</xdr:row>
      <xdr:rowOff>23812</xdr:rowOff>
    </xdr:from>
    <xdr:to>
      <xdr:col>15</xdr:col>
      <xdr:colOff>138112</xdr:colOff>
      <xdr:row>36</xdr:row>
      <xdr:rowOff>100012</xdr:rowOff>
    </xdr:to>
    <xdr:graphicFrame macro="">
      <xdr:nvGraphicFramePr>
        <xdr:cNvPr id="11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14287</xdr:colOff>
      <xdr:row>22</xdr:row>
      <xdr:rowOff>33337</xdr:rowOff>
    </xdr:from>
    <xdr:to>
      <xdr:col>23</xdr:col>
      <xdr:colOff>319087</xdr:colOff>
      <xdr:row>36</xdr:row>
      <xdr:rowOff>109537</xdr:rowOff>
    </xdr:to>
    <xdr:graphicFrame macro="">
      <xdr:nvGraphicFramePr>
        <xdr:cNvPr id="12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0"/>
  <sheetViews>
    <sheetView workbookViewId="0">
      <selection activeCell="V49" sqref="V49"/>
    </sheetView>
  </sheetViews>
  <sheetFormatPr defaultRowHeight="15" x14ac:dyDescent="0.25"/>
  <cols>
    <col min="1" max="1" width="11" bestFit="1" customWidth="1"/>
    <col min="4" max="4" width="9.28515625" bestFit="1" customWidth="1"/>
    <col min="6" max="6" width="13.85546875" bestFit="1" customWidth="1"/>
    <col min="7" max="7" width="9.140625" bestFit="1" customWidth="1"/>
    <col min="8" max="8" width="13.7109375" bestFit="1" customWidth="1"/>
    <col min="17" max="17" width="12.7109375" bestFit="1" customWidth="1"/>
    <col min="26" max="26" width="12.85546875" bestFit="1" customWidth="1"/>
  </cols>
  <sheetData>
    <row r="1" spans="1:26" ht="15.75" thickBot="1" x14ac:dyDescent="0.3">
      <c r="A1" s="1" t="s">
        <v>0</v>
      </c>
      <c r="B1" s="3"/>
    </row>
    <row r="2" spans="1:26" x14ac:dyDescent="0.25">
      <c r="A2" s="1" t="s">
        <v>1</v>
      </c>
      <c r="B2" s="3"/>
      <c r="C2" s="2"/>
      <c r="D2" s="1" t="s">
        <v>3</v>
      </c>
      <c r="E2" s="2" t="e">
        <f>G2/B3</f>
        <v>#DIV/0!</v>
      </c>
      <c r="F2" s="1" t="s">
        <v>5</v>
      </c>
      <c r="G2" s="3">
        <f>A60</f>
        <v>0</v>
      </c>
      <c r="H2" s="1" t="s">
        <v>8</v>
      </c>
      <c r="I2" s="3">
        <f>Calculations!T54</f>
        <v>0</v>
      </c>
    </row>
    <row r="3" spans="1:26" ht="15.75" thickBot="1" x14ac:dyDescent="0.3">
      <c r="A3" s="7" t="s">
        <v>2</v>
      </c>
      <c r="B3" s="9">
        <f>A60+I60+R60</f>
        <v>0</v>
      </c>
      <c r="C3" s="5"/>
      <c r="D3" s="7" t="s">
        <v>4</v>
      </c>
      <c r="E3" s="8" t="e">
        <f>(SUM(K9:K59)+SUM(T9:T59))/(I60+R60)</f>
        <v>#DIV/0!</v>
      </c>
      <c r="F3" s="4" t="s">
        <v>6</v>
      </c>
      <c r="G3" s="6">
        <f>Calculations!U54</f>
        <v>0</v>
      </c>
      <c r="H3" s="4" t="s">
        <v>9</v>
      </c>
      <c r="I3" s="6">
        <f>Calculations!Q54</f>
        <v>0</v>
      </c>
    </row>
    <row r="4" spans="1:26" ht="15.75" thickBot="1" x14ac:dyDescent="0.3">
      <c r="A4" s="5"/>
      <c r="B4" s="5"/>
      <c r="C4" s="5"/>
      <c r="D4" s="5"/>
      <c r="E4" s="5"/>
      <c r="F4" s="4" t="s">
        <v>7</v>
      </c>
      <c r="G4" s="6">
        <f>Calculations!S54</f>
        <v>0</v>
      </c>
      <c r="H4" s="7" t="s">
        <v>10</v>
      </c>
      <c r="I4" s="9">
        <f>Calculations!R54</f>
        <v>0</v>
      </c>
    </row>
    <row r="5" spans="1:26" ht="15.75" thickBot="1" x14ac:dyDescent="0.3">
      <c r="A5" s="7"/>
      <c r="B5" s="8"/>
      <c r="C5" s="8"/>
      <c r="D5" s="8"/>
      <c r="E5" s="8"/>
      <c r="F5" s="7" t="s">
        <v>11</v>
      </c>
      <c r="G5" s="9">
        <f>Calculations!V54</f>
        <v>0</v>
      </c>
      <c r="H5" s="8"/>
      <c r="I5" s="9"/>
    </row>
    <row r="7" spans="1:26" ht="15.75" thickBot="1" x14ac:dyDescent="0.3">
      <c r="A7" t="s">
        <v>5</v>
      </c>
      <c r="K7" t="s">
        <v>15</v>
      </c>
      <c r="V7" t="s">
        <v>6</v>
      </c>
    </row>
    <row r="8" spans="1:26" ht="15.75" thickBot="1" x14ac:dyDescent="0.3">
      <c r="A8" s="10" t="s">
        <v>12</v>
      </c>
      <c r="B8" s="12" t="s">
        <v>13</v>
      </c>
      <c r="C8" s="18" t="s">
        <v>14</v>
      </c>
      <c r="D8" s="19"/>
      <c r="E8" s="19"/>
      <c r="F8" s="19"/>
      <c r="G8" s="19"/>
      <c r="H8" s="20"/>
      <c r="I8" s="13" t="s">
        <v>12</v>
      </c>
      <c r="J8" s="11" t="s">
        <v>13</v>
      </c>
      <c r="K8" s="12" t="s">
        <v>16</v>
      </c>
      <c r="L8" s="18" t="s">
        <v>17</v>
      </c>
      <c r="M8" s="19"/>
      <c r="N8" s="19"/>
      <c r="O8" s="19"/>
      <c r="P8" s="20"/>
      <c r="Q8" s="10" t="s">
        <v>1</v>
      </c>
      <c r="R8" s="10" t="s">
        <v>12</v>
      </c>
      <c r="S8" s="12" t="s">
        <v>13</v>
      </c>
      <c r="T8" s="12" t="s">
        <v>16</v>
      </c>
      <c r="U8" s="18" t="s">
        <v>17</v>
      </c>
      <c r="V8" s="19"/>
      <c r="W8" s="19"/>
      <c r="X8" s="19"/>
      <c r="Y8" s="20"/>
      <c r="Z8" s="12" t="s">
        <v>1</v>
      </c>
    </row>
    <row r="9" spans="1:26" x14ac:dyDescent="0.25">
      <c r="A9" s="4"/>
      <c r="B9" s="5"/>
      <c r="C9" s="5"/>
      <c r="D9" s="5"/>
      <c r="E9" s="14"/>
      <c r="F9" s="14"/>
      <c r="G9" s="14"/>
      <c r="H9" s="6"/>
      <c r="I9" s="5"/>
      <c r="J9" s="5"/>
      <c r="K9" s="5"/>
      <c r="L9" s="5"/>
      <c r="M9" s="5"/>
      <c r="N9" s="5"/>
      <c r="O9" s="5"/>
      <c r="P9" s="5"/>
      <c r="Q9" s="5"/>
      <c r="R9" s="4"/>
      <c r="S9" s="5"/>
      <c r="T9" s="5"/>
      <c r="U9" s="5"/>
      <c r="V9" s="5"/>
      <c r="W9" s="5"/>
      <c r="X9" s="5"/>
      <c r="Y9" s="5"/>
      <c r="Z9" s="6"/>
    </row>
    <row r="10" spans="1:26" x14ac:dyDescent="0.25">
      <c r="A10" s="4"/>
      <c r="B10" s="5"/>
      <c r="C10" s="5"/>
      <c r="D10" s="5"/>
      <c r="E10" s="5"/>
      <c r="F10" s="5"/>
      <c r="G10" s="5"/>
      <c r="H10" s="6"/>
      <c r="I10" s="5"/>
      <c r="J10" s="5"/>
      <c r="K10" s="5"/>
      <c r="L10" s="5"/>
      <c r="M10" s="5"/>
      <c r="N10" s="5"/>
      <c r="O10" s="5"/>
      <c r="P10" s="5"/>
      <c r="Q10" s="5"/>
      <c r="R10" s="4"/>
      <c r="S10" s="5"/>
      <c r="T10" s="5"/>
      <c r="U10" s="5"/>
      <c r="V10" s="5"/>
      <c r="W10" s="5"/>
      <c r="X10" s="5"/>
      <c r="Y10" s="5"/>
      <c r="Z10" s="6"/>
    </row>
    <row r="11" spans="1:26" x14ac:dyDescent="0.25">
      <c r="A11" s="4"/>
      <c r="B11" s="14"/>
      <c r="C11" s="5"/>
      <c r="D11" s="5"/>
      <c r="E11" s="5"/>
      <c r="F11" s="5"/>
      <c r="G11" s="5"/>
      <c r="H11" s="6"/>
      <c r="I11" s="5"/>
      <c r="J11" s="5"/>
      <c r="K11" s="5"/>
      <c r="L11" s="5"/>
      <c r="M11" s="5"/>
      <c r="N11" s="5"/>
      <c r="O11" s="5"/>
      <c r="P11" s="5"/>
      <c r="Q11" s="14"/>
      <c r="R11" s="4"/>
      <c r="S11" s="5"/>
      <c r="T11" s="5"/>
      <c r="U11" s="5"/>
      <c r="V11" s="5"/>
      <c r="W11" s="5"/>
      <c r="X11" s="5"/>
      <c r="Y11" s="5"/>
      <c r="Z11" s="6"/>
    </row>
    <row r="12" spans="1:26" x14ac:dyDescent="0.25">
      <c r="A12" s="4"/>
      <c r="B12" s="14"/>
      <c r="C12" s="5"/>
      <c r="D12" s="5"/>
      <c r="E12" s="5"/>
      <c r="F12" s="5"/>
      <c r="G12" s="5"/>
      <c r="H12" s="6"/>
      <c r="I12" s="14"/>
      <c r="J12" s="5"/>
      <c r="K12" s="14"/>
      <c r="L12" s="5"/>
      <c r="M12" s="5"/>
      <c r="N12" s="5"/>
      <c r="O12" s="5"/>
      <c r="P12" s="5"/>
      <c r="Q12" s="14"/>
      <c r="R12" s="4"/>
      <c r="S12" s="5"/>
      <c r="T12" s="5"/>
      <c r="U12" s="5"/>
      <c r="V12" s="5"/>
      <c r="W12" s="5"/>
      <c r="X12" s="5"/>
      <c r="Y12" s="5"/>
      <c r="Z12" s="6"/>
    </row>
    <row r="13" spans="1:26" x14ac:dyDescent="0.25">
      <c r="A13" s="4"/>
      <c r="B13" s="14"/>
      <c r="C13" s="5"/>
      <c r="D13" s="5"/>
      <c r="E13" s="5"/>
      <c r="F13" s="5"/>
      <c r="G13" s="5"/>
      <c r="H13" s="6"/>
      <c r="I13" s="5"/>
      <c r="J13" s="5"/>
      <c r="K13" s="5"/>
      <c r="L13" s="5"/>
      <c r="M13" s="5"/>
      <c r="N13" s="5"/>
      <c r="O13" s="5"/>
      <c r="P13" s="5"/>
      <c r="Q13" s="5"/>
      <c r="R13" s="4"/>
      <c r="S13" s="5"/>
      <c r="T13" s="5"/>
      <c r="U13" s="5"/>
      <c r="V13" s="5"/>
      <c r="W13" s="5"/>
      <c r="X13" s="5"/>
      <c r="Y13" s="5"/>
      <c r="Z13" s="6"/>
    </row>
    <row r="14" spans="1:26" x14ac:dyDescent="0.25">
      <c r="A14" s="4"/>
      <c r="B14" s="14"/>
      <c r="C14" s="5"/>
      <c r="D14" s="5"/>
      <c r="E14" s="5"/>
      <c r="F14" s="5"/>
      <c r="G14" s="5"/>
      <c r="H14" s="6"/>
      <c r="I14" s="5"/>
      <c r="J14" s="5"/>
      <c r="K14" s="5"/>
      <c r="L14" s="5"/>
      <c r="M14" s="5"/>
      <c r="N14" s="5"/>
      <c r="O14" s="5"/>
      <c r="P14" s="5"/>
      <c r="Q14" s="5"/>
      <c r="R14" s="4"/>
      <c r="S14" s="5"/>
      <c r="T14" s="5"/>
      <c r="U14" s="5"/>
      <c r="V14" s="5"/>
      <c r="W14" s="5"/>
      <c r="X14" s="5"/>
      <c r="Y14" s="5"/>
      <c r="Z14" s="6"/>
    </row>
    <row r="15" spans="1:26" x14ac:dyDescent="0.25">
      <c r="A15" s="4"/>
      <c r="B15" s="5"/>
      <c r="C15" s="5"/>
      <c r="D15" s="5"/>
      <c r="E15" s="5"/>
      <c r="F15" s="5"/>
      <c r="G15" s="5"/>
      <c r="H15" s="6"/>
      <c r="I15" s="5"/>
      <c r="J15" s="5"/>
      <c r="K15" s="5"/>
      <c r="L15" s="5"/>
      <c r="M15" s="5"/>
      <c r="N15" s="5"/>
      <c r="O15" s="5"/>
      <c r="P15" s="5"/>
      <c r="Q15" s="5"/>
      <c r="R15" s="4"/>
      <c r="S15" s="5"/>
      <c r="T15" s="5"/>
      <c r="U15" s="5"/>
      <c r="V15" s="5"/>
      <c r="W15" s="5"/>
      <c r="X15" s="5"/>
      <c r="Y15" s="5"/>
      <c r="Z15" s="6"/>
    </row>
    <row r="16" spans="1:26" x14ac:dyDescent="0.25">
      <c r="A16" s="4"/>
      <c r="B16" s="5"/>
      <c r="C16" s="5"/>
      <c r="D16" s="5"/>
      <c r="E16" s="5"/>
      <c r="F16" s="5"/>
      <c r="G16" s="5"/>
      <c r="H16" s="6"/>
      <c r="I16" s="5"/>
      <c r="J16" s="5"/>
      <c r="K16" s="5"/>
      <c r="L16" s="5"/>
      <c r="M16" s="5"/>
      <c r="N16" s="5"/>
      <c r="O16" s="5"/>
      <c r="P16" s="5"/>
      <c r="Q16" s="5"/>
      <c r="R16" s="4"/>
      <c r="S16" s="5"/>
      <c r="T16" s="5"/>
      <c r="U16" s="5"/>
      <c r="V16" s="5"/>
      <c r="W16" s="5"/>
      <c r="X16" s="5"/>
      <c r="Y16" s="5"/>
      <c r="Z16" s="6"/>
    </row>
    <row r="17" spans="1:26" x14ac:dyDescent="0.25">
      <c r="A17" s="4"/>
      <c r="B17" s="5"/>
      <c r="C17" s="5"/>
      <c r="D17" s="5"/>
      <c r="E17" s="5"/>
      <c r="F17" s="5"/>
      <c r="G17" s="5"/>
      <c r="H17" s="6"/>
      <c r="I17" s="5"/>
      <c r="J17" s="5"/>
      <c r="K17" s="5"/>
      <c r="L17" s="5"/>
      <c r="M17" s="5"/>
      <c r="N17" s="5"/>
      <c r="O17" s="5"/>
      <c r="P17" s="5"/>
      <c r="Q17" s="5"/>
      <c r="R17" s="4"/>
      <c r="S17" s="5"/>
      <c r="T17" s="5"/>
      <c r="U17" s="5"/>
      <c r="V17" s="5"/>
      <c r="W17" s="5"/>
      <c r="X17" s="5"/>
      <c r="Y17" s="5"/>
      <c r="Z17" s="6"/>
    </row>
    <row r="18" spans="1:26" x14ac:dyDescent="0.25">
      <c r="A18" s="4"/>
      <c r="B18" s="5"/>
      <c r="C18" s="5"/>
      <c r="D18" s="5"/>
      <c r="E18" s="5"/>
      <c r="F18" s="5"/>
      <c r="G18" s="5"/>
      <c r="H18" s="6"/>
      <c r="I18" s="5"/>
      <c r="J18" s="5"/>
      <c r="K18" s="5"/>
      <c r="L18" s="5"/>
      <c r="M18" s="5"/>
      <c r="N18" s="5"/>
      <c r="O18" s="5"/>
      <c r="P18" s="5"/>
      <c r="Q18" s="5"/>
      <c r="R18" s="4"/>
      <c r="S18" s="5"/>
      <c r="T18" s="5"/>
      <c r="U18" s="5"/>
      <c r="V18" s="5"/>
      <c r="W18" s="5"/>
      <c r="X18" s="5"/>
      <c r="Y18" s="5"/>
      <c r="Z18" s="6"/>
    </row>
    <row r="19" spans="1:26" x14ac:dyDescent="0.25">
      <c r="A19" s="4"/>
      <c r="B19" s="5"/>
      <c r="C19" s="5"/>
      <c r="D19" s="5"/>
      <c r="E19" s="5"/>
      <c r="F19" s="5"/>
      <c r="G19" s="5"/>
      <c r="H19" s="6"/>
      <c r="I19" s="5"/>
      <c r="J19" s="5"/>
      <c r="K19" s="5"/>
      <c r="L19" s="5"/>
      <c r="M19" s="5"/>
      <c r="N19" s="5"/>
      <c r="O19" s="5"/>
      <c r="P19" s="5"/>
      <c r="Q19" s="5"/>
      <c r="R19" s="4"/>
      <c r="S19" s="5"/>
      <c r="T19" s="5"/>
      <c r="U19" s="5"/>
      <c r="V19" s="5"/>
      <c r="W19" s="5"/>
      <c r="X19" s="5"/>
      <c r="Y19" s="5"/>
      <c r="Z19" s="6"/>
    </row>
    <row r="20" spans="1:26" x14ac:dyDescent="0.25">
      <c r="A20" s="4"/>
      <c r="B20" s="5"/>
      <c r="C20" s="5"/>
      <c r="D20" s="5"/>
      <c r="E20" s="5"/>
      <c r="F20" s="5"/>
      <c r="G20" s="5"/>
      <c r="H20" s="6"/>
      <c r="I20" s="5"/>
      <c r="J20" s="5"/>
      <c r="K20" s="5"/>
      <c r="L20" s="5"/>
      <c r="M20" s="5"/>
      <c r="N20" s="5"/>
      <c r="O20" s="5"/>
      <c r="P20" s="5"/>
      <c r="Q20" s="5"/>
      <c r="R20" s="4"/>
      <c r="S20" s="5"/>
      <c r="T20" s="5"/>
      <c r="U20" s="5"/>
      <c r="V20" s="5"/>
      <c r="W20" s="5"/>
      <c r="X20" s="5"/>
      <c r="Y20" s="5"/>
      <c r="Z20" s="6"/>
    </row>
    <row r="21" spans="1:26" x14ac:dyDescent="0.25">
      <c r="A21" s="4"/>
      <c r="B21" s="5"/>
      <c r="C21" s="5"/>
      <c r="D21" s="5"/>
      <c r="E21" s="5"/>
      <c r="F21" s="5"/>
      <c r="G21" s="5"/>
      <c r="H21" s="6"/>
      <c r="I21" s="5"/>
      <c r="J21" s="5"/>
      <c r="K21" s="5"/>
      <c r="L21" s="5"/>
      <c r="M21" s="5"/>
      <c r="N21" s="5"/>
      <c r="O21" s="5"/>
      <c r="P21" s="5"/>
      <c r="Q21" s="5"/>
      <c r="R21" s="4"/>
      <c r="S21" s="5"/>
      <c r="T21" s="5"/>
      <c r="U21" s="5"/>
      <c r="V21" s="5"/>
      <c r="W21" s="5"/>
      <c r="X21" s="5"/>
      <c r="Y21" s="5"/>
      <c r="Z21" s="6"/>
    </row>
    <row r="22" spans="1:26" x14ac:dyDescent="0.25">
      <c r="A22" s="4"/>
      <c r="B22" s="5"/>
      <c r="C22" s="5"/>
      <c r="D22" s="5"/>
      <c r="E22" s="5"/>
      <c r="F22" s="5"/>
      <c r="G22" s="5"/>
      <c r="H22" s="6"/>
      <c r="I22" s="5"/>
      <c r="J22" s="5"/>
      <c r="K22" s="5"/>
      <c r="L22" s="5"/>
      <c r="M22" s="5"/>
      <c r="N22" s="5"/>
      <c r="O22" s="5"/>
      <c r="P22" s="5"/>
      <c r="Q22" s="5"/>
      <c r="R22" s="4"/>
      <c r="S22" s="5"/>
      <c r="T22" s="5"/>
      <c r="U22" s="5"/>
      <c r="V22" s="5"/>
      <c r="W22" s="5"/>
      <c r="X22" s="5"/>
      <c r="Y22" s="5"/>
      <c r="Z22" s="6"/>
    </row>
    <row r="23" spans="1:26" x14ac:dyDescent="0.25">
      <c r="A23" s="4"/>
      <c r="B23" s="5"/>
      <c r="C23" s="5"/>
      <c r="D23" s="5"/>
      <c r="E23" s="5"/>
      <c r="F23" s="5"/>
      <c r="G23" s="5"/>
      <c r="H23" s="6"/>
      <c r="I23" s="5"/>
      <c r="J23" s="5"/>
      <c r="K23" s="5"/>
      <c r="L23" s="5"/>
      <c r="M23" s="5"/>
      <c r="N23" s="5"/>
      <c r="O23" s="5"/>
      <c r="P23" s="5"/>
      <c r="Q23" s="5"/>
      <c r="R23" s="4"/>
      <c r="S23" s="5"/>
      <c r="T23" s="5"/>
      <c r="U23" s="5"/>
      <c r="V23" s="5"/>
      <c r="W23" s="5"/>
      <c r="X23" s="5"/>
      <c r="Y23" s="5"/>
      <c r="Z23" s="6"/>
    </row>
    <row r="24" spans="1:26" x14ac:dyDescent="0.25">
      <c r="A24" s="4"/>
      <c r="B24" s="5"/>
      <c r="C24" s="5"/>
      <c r="D24" s="5"/>
      <c r="E24" s="5"/>
      <c r="F24" s="5"/>
      <c r="G24" s="5"/>
      <c r="H24" s="6"/>
      <c r="I24" s="5"/>
      <c r="J24" s="5"/>
      <c r="K24" s="5"/>
      <c r="L24" s="5"/>
      <c r="M24" s="5"/>
      <c r="N24" s="5"/>
      <c r="O24" s="5"/>
      <c r="P24" s="5"/>
      <c r="Q24" s="5"/>
      <c r="R24" s="4"/>
      <c r="S24" s="5"/>
      <c r="T24" s="5"/>
      <c r="U24" s="5"/>
      <c r="V24" s="5"/>
      <c r="W24" s="5"/>
      <c r="X24" s="5"/>
      <c r="Y24" s="5"/>
      <c r="Z24" s="6"/>
    </row>
    <row r="25" spans="1:26" x14ac:dyDescent="0.25">
      <c r="A25" s="4"/>
      <c r="B25" s="5"/>
      <c r="C25" s="5"/>
      <c r="D25" s="5"/>
      <c r="E25" s="5"/>
      <c r="F25" s="5"/>
      <c r="G25" s="5"/>
      <c r="H25" s="6"/>
      <c r="I25" s="5"/>
      <c r="J25" s="5"/>
      <c r="K25" s="5"/>
      <c r="L25" s="5"/>
      <c r="M25" s="5"/>
      <c r="N25" s="5"/>
      <c r="O25" s="5"/>
      <c r="P25" s="5"/>
      <c r="Q25" s="5"/>
      <c r="R25" s="4"/>
      <c r="S25" s="5"/>
      <c r="T25" s="5"/>
      <c r="U25" s="5"/>
      <c r="V25" s="5"/>
      <c r="W25" s="5"/>
      <c r="X25" s="5"/>
      <c r="Y25" s="5"/>
      <c r="Z25" s="6"/>
    </row>
    <row r="26" spans="1:26" x14ac:dyDescent="0.25">
      <c r="A26" s="4"/>
      <c r="B26" s="5"/>
      <c r="C26" s="5"/>
      <c r="D26" s="5"/>
      <c r="E26" s="5"/>
      <c r="F26" s="5"/>
      <c r="G26" s="5"/>
      <c r="H26" s="6"/>
      <c r="I26" s="5"/>
      <c r="J26" s="5"/>
      <c r="K26" s="5"/>
      <c r="L26" s="5"/>
      <c r="M26" s="5"/>
      <c r="N26" s="5"/>
      <c r="O26" s="5"/>
      <c r="P26" s="5"/>
      <c r="Q26" s="5"/>
      <c r="R26" s="4"/>
      <c r="S26" s="5"/>
      <c r="T26" s="5"/>
      <c r="U26" s="5"/>
      <c r="V26" s="5"/>
      <c r="W26" s="5"/>
      <c r="X26" s="5"/>
      <c r="Y26" s="5"/>
      <c r="Z26" s="6"/>
    </row>
    <row r="27" spans="1:26" x14ac:dyDescent="0.25">
      <c r="A27" s="4"/>
      <c r="B27" s="5"/>
      <c r="C27" s="5"/>
      <c r="D27" s="5"/>
      <c r="E27" s="5"/>
      <c r="F27" s="5"/>
      <c r="G27" s="5"/>
      <c r="H27" s="6"/>
      <c r="I27" s="5"/>
      <c r="J27" s="5"/>
      <c r="K27" s="5"/>
      <c r="L27" s="5"/>
      <c r="M27" s="5"/>
      <c r="N27" s="5"/>
      <c r="O27" s="5"/>
      <c r="P27" s="5"/>
      <c r="Q27" s="5"/>
      <c r="R27" s="4"/>
      <c r="S27" s="5"/>
      <c r="T27" s="5"/>
      <c r="U27" s="5"/>
      <c r="V27" s="5"/>
      <c r="W27" s="5"/>
      <c r="X27" s="5"/>
      <c r="Y27" s="5"/>
      <c r="Z27" s="6"/>
    </row>
    <row r="28" spans="1:26" x14ac:dyDescent="0.25">
      <c r="A28" s="4"/>
      <c r="B28" s="5"/>
      <c r="C28" s="5"/>
      <c r="D28" s="5"/>
      <c r="E28" s="5"/>
      <c r="F28" s="5"/>
      <c r="G28" s="5"/>
      <c r="H28" s="6"/>
      <c r="I28" s="5"/>
      <c r="J28" s="5"/>
      <c r="K28" s="5"/>
      <c r="L28" s="5"/>
      <c r="M28" s="5"/>
      <c r="N28" s="5"/>
      <c r="O28" s="5"/>
      <c r="P28" s="5"/>
      <c r="Q28" s="5"/>
      <c r="R28" s="4"/>
      <c r="S28" s="5"/>
      <c r="T28" s="5"/>
      <c r="U28" s="5"/>
      <c r="V28" s="5"/>
      <c r="W28" s="5"/>
      <c r="X28" s="5"/>
      <c r="Y28" s="5"/>
      <c r="Z28" s="6"/>
    </row>
    <row r="29" spans="1:26" x14ac:dyDescent="0.25">
      <c r="A29" s="4"/>
      <c r="B29" s="5"/>
      <c r="C29" s="5"/>
      <c r="D29" s="5"/>
      <c r="E29" s="5"/>
      <c r="F29" s="5"/>
      <c r="G29" s="5"/>
      <c r="H29" s="6"/>
      <c r="I29" s="5"/>
      <c r="J29" s="5"/>
      <c r="K29" s="5"/>
      <c r="L29" s="5"/>
      <c r="M29" s="5"/>
      <c r="N29" s="5"/>
      <c r="O29" s="5"/>
      <c r="P29" s="5"/>
      <c r="Q29" s="5"/>
      <c r="R29" s="4"/>
      <c r="S29" s="5"/>
      <c r="T29" s="5"/>
      <c r="U29" s="5"/>
      <c r="V29" s="5"/>
      <c r="W29" s="5"/>
      <c r="X29" s="5"/>
      <c r="Y29" s="5"/>
      <c r="Z29" s="6"/>
    </row>
    <row r="30" spans="1:26" x14ac:dyDescent="0.25">
      <c r="A30" s="4"/>
      <c r="B30" s="5"/>
      <c r="C30" s="5"/>
      <c r="D30" s="5"/>
      <c r="E30" s="5"/>
      <c r="F30" s="5"/>
      <c r="G30" s="5"/>
      <c r="H30" s="6"/>
      <c r="I30" s="5"/>
      <c r="J30" s="5"/>
      <c r="K30" s="5"/>
      <c r="L30" s="5"/>
      <c r="M30" s="5"/>
      <c r="N30" s="5"/>
      <c r="O30" s="5"/>
      <c r="P30" s="5"/>
      <c r="Q30" s="5"/>
      <c r="R30" s="4"/>
      <c r="S30" s="5"/>
      <c r="T30" s="5"/>
      <c r="U30" s="5"/>
      <c r="V30" s="5"/>
      <c r="W30" s="5"/>
      <c r="X30" s="5"/>
      <c r="Y30" s="5"/>
      <c r="Z30" s="6"/>
    </row>
    <row r="31" spans="1:26" x14ac:dyDescent="0.25">
      <c r="A31" s="4"/>
      <c r="B31" s="5"/>
      <c r="C31" s="5"/>
      <c r="D31" s="5"/>
      <c r="E31" s="5"/>
      <c r="F31" s="5"/>
      <c r="G31" s="5"/>
      <c r="H31" s="6"/>
      <c r="I31" s="5"/>
      <c r="J31" s="5"/>
      <c r="K31" s="5"/>
      <c r="L31" s="5"/>
      <c r="M31" s="5"/>
      <c r="N31" s="5"/>
      <c r="O31" s="5"/>
      <c r="P31" s="5"/>
      <c r="Q31" s="5"/>
      <c r="R31" s="4"/>
      <c r="S31" s="5"/>
      <c r="T31" s="5"/>
      <c r="U31" s="5"/>
      <c r="V31" s="5"/>
      <c r="W31" s="5"/>
      <c r="X31" s="5"/>
      <c r="Y31" s="5"/>
      <c r="Z31" s="6"/>
    </row>
    <row r="32" spans="1:26" x14ac:dyDescent="0.25">
      <c r="A32" s="4"/>
      <c r="B32" s="5"/>
      <c r="C32" s="5"/>
      <c r="D32" s="5"/>
      <c r="E32" s="5"/>
      <c r="F32" s="5"/>
      <c r="G32" s="5"/>
      <c r="H32" s="6"/>
      <c r="I32" s="5"/>
      <c r="J32" s="5"/>
      <c r="K32" s="5"/>
      <c r="L32" s="5"/>
      <c r="M32" s="5"/>
      <c r="N32" s="5"/>
      <c r="O32" s="5"/>
      <c r="P32" s="5"/>
      <c r="Q32" s="5"/>
      <c r="R32" s="4"/>
      <c r="S32" s="5"/>
      <c r="T32" s="5"/>
      <c r="U32" s="5"/>
      <c r="V32" s="5"/>
      <c r="W32" s="5"/>
      <c r="X32" s="5"/>
      <c r="Y32" s="5"/>
      <c r="Z32" s="6"/>
    </row>
    <row r="33" spans="1:26" x14ac:dyDescent="0.25">
      <c r="A33" s="4"/>
      <c r="B33" s="5"/>
      <c r="C33" s="5"/>
      <c r="D33" s="5"/>
      <c r="E33" s="5"/>
      <c r="F33" s="5"/>
      <c r="G33" s="5"/>
      <c r="H33" s="6"/>
      <c r="I33" s="5"/>
      <c r="J33" s="5"/>
      <c r="K33" s="5"/>
      <c r="L33" s="5"/>
      <c r="M33" s="5"/>
      <c r="N33" s="5"/>
      <c r="O33" s="5"/>
      <c r="P33" s="5"/>
      <c r="Q33" s="5"/>
      <c r="R33" s="4"/>
      <c r="S33" s="5"/>
      <c r="T33" s="5"/>
      <c r="U33" s="5"/>
      <c r="V33" s="5"/>
      <c r="W33" s="5"/>
      <c r="X33" s="5"/>
      <c r="Y33" s="5"/>
      <c r="Z33" s="6"/>
    </row>
    <row r="34" spans="1:26" x14ac:dyDescent="0.25">
      <c r="A34" s="4"/>
      <c r="B34" s="5"/>
      <c r="C34" s="5"/>
      <c r="D34" s="5"/>
      <c r="E34" s="5"/>
      <c r="F34" s="5"/>
      <c r="G34" s="5"/>
      <c r="H34" s="6"/>
      <c r="I34" s="5"/>
      <c r="J34" s="5"/>
      <c r="K34" s="5"/>
      <c r="L34" s="5"/>
      <c r="M34" s="5"/>
      <c r="N34" s="5"/>
      <c r="O34" s="5"/>
      <c r="P34" s="5"/>
      <c r="Q34" s="5"/>
      <c r="R34" s="4"/>
      <c r="S34" s="5"/>
      <c r="T34" s="5"/>
      <c r="U34" s="5"/>
      <c r="V34" s="5"/>
      <c r="W34" s="5"/>
      <c r="X34" s="5"/>
      <c r="Y34" s="5"/>
      <c r="Z34" s="6"/>
    </row>
    <row r="35" spans="1:26" x14ac:dyDescent="0.25">
      <c r="A35" s="4"/>
      <c r="B35" s="5"/>
      <c r="C35" s="5"/>
      <c r="D35" s="5"/>
      <c r="E35" s="5"/>
      <c r="F35" s="5"/>
      <c r="G35" s="5"/>
      <c r="H35" s="6"/>
      <c r="I35" s="5"/>
      <c r="J35" s="5"/>
      <c r="K35" s="5"/>
      <c r="L35" s="5"/>
      <c r="M35" s="5"/>
      <c r="N35" s="5"/>
      <c r="O35" s="5"/>
      <c r="P35" s="5"/>
      <c r="Q35" s="5"/>
      <c r="R35" s="4"/>
      <c r="S35" s="5"/>
      <c r="T35" s="5"/>
      <c r="U35" s="5"/>
      <c r="V35" s="5"/>
      <c r="W35" s="5"/>
      <c r="X35" s="5"/>
      <c r="Y35" s="5"/>
      <c r="Z35" s="6"/>
    </row>
    <row r="36" spans="1:26" x14ac:dyDescent="0.25">
      <c r="A36" s="4"/>
      <c r="B36" s="5"/>
      <c r="C36" s="5"/>
      <c r="D36" s="5"/>
      <c r="E36" s="5"/>
      <c r="F36" s="5"/>
      <c r="G36" s="5"/>
      <c r="H36" s="6"/>
      <c r="I36" s="5"/>
      <c r="J36" s="5"/>
      <c r="K36" s="5"/>
      <c r="L36" s="5"/>
      <c r="M36" s="5"/>
      <c r="N36" s="5"/>
      <c r="O36" s="5"/>
      <c r="P36" s="5"/>
      <c r="Q36" s="5"/>
      <c r="R36" s="4"/>
      <c r="S36" s="5"/>
      <c r="T36" s="5"/>
      <c r="U36" s="5"/>
      <c r="V36" s="5"/>
      <c r="W36" s="5"/>
      <c r="X36" s="5"/>
      <c r="Y36" s="5"/>
      <c r="Z36" s="6"/>
    </row>
    <row r="37" spans="1:26" x14ac:dyDescent="0.25">
      <c r="A37" s="4"/>
      <c r="B37" s="5"/>
      <c r="C37" s="5"/>
      <c r="D37" s="5"/>
      <c r="E37" s="5"/>
      <c r="F37" s="5"/>
      <c r="G37" s="5"/>
      <c r="H37" s="6"/>
      <c r="I37" s="5"/>
      <c r="J37" s="5"/>
      <c r="K37" s="5"/>
      <c r="L37" s="5"/>
      <c r="M37" s="5"/>
      <c r="N37" s="5"/>
      <c r="O37" s="5"/>
      <c r="P37" s="5"/>
      <c r="Q37" s="5"/>
      <c r="R37" s="4"/>
      <c r="S37" s="5"/>
      <c r="T37" s="5"/>
      <c r="U37" s="5"/>
      <c r="V37" s="5"/>
      <c r="W37" s="5"/>
      <c r="X37" s="5"/>
      <c r="Y37" s="5"/>
      <c r="Z37" s="6"/>
    </row>
    <row r="38" spans="1:26" x14ac:dyDescent="0.25">
      <c r="A38" s="4"/>
      <c r="B38" s="5"/>
      <c r="C38" s="5"/>
      <c r="D38" s="5"/>
      <c r="E38" s="5"/>
      <c r="F38" s="5"/>
      <c r="G38" s="5"/>
      <c r="H38" s="6"/>
      <c r="I38" s="5"/>
      <c r="J38" s="5"/>
      <c r="K38" s="5"/>
      <c r="L38" s="5"/>
      <c r="M38" s="5"/>
      <c r="N38" s="5"/>
      <c r="O38" s="5"/>
      <c r="P38" s="5"/>
      <c r="Q38" s="5"/>
      <c r="R38" s="4"/>
      <c r="S38" s="5"/>
      <c r="T38" s="5"/>
      <c r="U38" s="5"/>
      <c r="V38" s="5"/>
      <c r="W38" s="5"/>
      <c r="X38" s="5"/>
      <c r="Y38" s="5"/>
      <c r="Z38" s="6"/>
    </row>
    <row r="39" spans="1:26" x14ac:dyDescent="0.25">
      <c r="A39" s="4"/>
      <c r="B39" s="5"/>
      <c r="C39" s="5"/>
      <c r="D39" s="5"/>
      <c r="E39" s="5"/>
      <c r="F39" s="5"/>
      <c r="G39" s="5"/>
      <c r="H39" s="6"/>
      <c r="I39" s="5"/>
      <c r="J39" s="5"/>
      <c r="K39" s="5"/>
      <c r="L39" s="5"/>
      <c r="M39" s="5"/>
      <c r="N39" s="5"/>
      <c r="O39" s="5"/>
      <c r="P39" s="5"/>
      <c r="Q39" s="5"/>
      <c r="R39" s="4"/>
      <c r="S39" s="5"/>
      <c r="T39" s="5"/>
      <c r="U39" s="5"/>
      <c r="V39" s="5"/>
      <c r="W39" s="5"/>
      <c r="X39" s="5"/>
      <c r="Y39" s="5"/>
      <c r="Z39" s="6"/>
    </row>
    <row r="40" spans="1:26" x14ac:dyDescent="0.25">
      <c r="A40" s="4"/>
      <c r="B40" s="5"/>
      <c r="C40" s="5"/>
      <c r="D40" s="5"/>
      <c r="E40" s="5"/>
      <c r="F40" s="5"/>
      <c r="G40" s="5"/>
      <c r="H40" s="6"/>
      <c r="I40" s="5"/>
      <c r="J40" s="5"/>
      <c r="K40" s="5"/>
      <c r="L40" s="5"/>
      <c r="M40" s="5"/>
      <c r="N40" s="5"/>
      <c r="O40" s="5"/>
      <c r="P40" s="5"/>
      <c r="Q40" s="5"/>
      <c r="R40" s="4"/>
      <c r="S40" s="5"/>
      <c r="T40" s="5"/>
      <c r="U40" s="5"/>
      <c r="V40" s="5"/>
      <c r="W40" s="5"/>
      <c r="X40" s="5"/>
      <c r="Y40" s="5"/>
      <c r="Z40" s="6"/>
    </row>
    <row r="41" spans="1:26" x14ac:dyDescent="0.25">
      <c r="A41" s="4"/>
      <c r="B41" s="5"/>
      <c r="C41" s="5"/>
      <c r="D41" s="5"/>
      <c r="E41" s="5"/>
      <c r="F41" s="5"/>
      <c r="G41" s="5"/>
      <c r="H41" s="6"/>
      <c r="I41" s="5"/>
      <c r="J41" s="5"/>
      <c r="K41" s="5"/>
      <c r="L41" s="5"/>
      <c r="M41" s="5"/>
      <c r="N41" s="5"/>
      <c r="O41" s="5"/>
      <c r="P41" s="5"/>
      <c r="Q41" s="5"/>
      <c r="R41" s="4"/>
      <c r="S41" s="5"/>
      <c r="T41" s="5"/>
      <c r="U41" s="5"/>
      <c r="V41" s="5"/>
      <c r="W41" s="5"/>
      <c r="X41" s="5"/>
      <c r="Y41" s="5"/>
      <c r="Z41" s="6"/>
    </row>
    <row r="42" spans="1:26" x14ac:dyDescent="0.25">
      <c r="A42" s="4"/>
      <c r="B42" s="5"/>
      <c r="C42" s="5"/>
      <c r="D42" s="5"/>
      <c r="E42" s="5"/>
      <c r="F42" s="5"/>
      <c r="G42" s="5"/>
      <c r="H42" s="6"/>
      <c r="I42" s="5"/>
      <c r="J42" s="5"/>
      <c r="K42" s="5"/>
      <c r="L42" s="5"/>
      <c r="M42" s="5"/>
      <c r="N42" s="5"/>
      <c r="O42" s="5"/>
      <c r="P42" s="5"/>
      <c r="Q42" s="5"/>
      <c r="R42" s="4"/>
      <c r="S42" s="5"/>
      <c r="T42" s="5"/>
      <c r="U42" s="5"/>
      <c r="V42" s="5"/>
      <c r="W42" s="5"/>
      <c r="X42" s="5"/>
      <c r="Y42" s="5"/>
      <c r="Z42" s="6"/>
    </row>
    <row r="43" spans="1:26" x14ac:dyDescent="0.25">
      <c r="A43" s="4"/>
      <c r="B43" s="5"/>
      <c r="C43" s="5"/>
      <c r="D43" s="5"/>
      <c r="E43" s="5"/>
      <c r="F43" s="5"/>
      <c r="G43" s="5"/>
      <c r="H43" s="6"/>
      <c r="I43" s="5"/>
      <c r="J43" s="5"/>
      <c r="K43" s="5"/>
      <c r="L43" s="5"/>
      <c r="M43" s="5"/>
      <c r="N43" s="5"/>
      <c r="O43" s="5"/>
      <c r="P43" s="5"/>
      <c r="Q43" s="5"/>
      <c r="R43" s="4"/>
      <c r="S43" s="5"/>
      <c r="T43" s="5"/>
      <c r="U43" s="5"/>
      <c r="V43" s="5"/>
      <c r="W43" s="5"/>
      <c r="X43" s="5"/>
      <c r="Y43" s="5"/>
      <c r="Z43" s="6"/>
    </row>
    <row r="44" spans="1:26" x14ac:dyDescent="0.25">
      <c r="A44" s="4"/>
      <c r="B44" s="5"/>
      <c r="C44" s="5"/>
      <c r="D44" s="5"/>
      <c r="E44" s="5"/>
      <c r="F44" s="5"/>
      <c r="G44" s="5"/>
      <c r="H44" s="6"/>
      <c r="I44" s="5"/>
      <c r="J44" s="5"/>
      <c r="K44" s="5"/>
      <c r="L44" s="5"/>
      <c r="M44" s="5"/>
      <c r="N44" s="5"/>
      <c r="O44" s="5"/>
      <c r="P44" s="5"/>
      <c r="Q44" s="5"/>
      <c r="R44" s="4"/>
      <c r="S44" s="5"/>
      <c r="T44" s="5"/>
      <c r="U44" s="5"/>
      <c r="V44" s="5"/>
      <c r="W44" s="5"/>
      <c r="X44" s="5"/>
      <c r="Y44" s="5"/>
      <c r="Z44" s="6"/>
    </row>
    <row r="45" spans="1:26" x14ac:dyDescent="0.25">
      <c r="A45" s="4"/>
      <c r="B45" s="5"/>
      <c r="C45" s="5"/>
      <c r="D45" s="5"/>
      <c r="E45" s="5"/>
      <c r="F45" s="5"/>
      <c r="G45" s="5"/>
      <c r="H45" s="6"/>
      <c r="I45" s="5"/>
      <c r="J45" s="5"/>
      <c r="K45" s="5"/>
      <c r="L45" s="5"/>
      <c r="M45" s="5"/>
      <c r="N45" s="5"/>
      <c r="O45" s="5"/>
      <c r="P45" s="5"/>
      <c r="Q45" s="5"/>
      <c r="R45" s="4"/>
      <c r="S45" s="5"/>
      <c r="T45" s="5"/>
      <c r="U45" s="5"/>
      <c r="V45" s="5"/>
      <c r="W45" s="5"/>
      <c r="X45" s="5"/>
      <c r="Y45" s="5"/>
      <c r="Z45" s="6"/>
    </row>
    <row r="46" spans="1:26" x14ac:dyDescent="0.25">
      <c r="A46" s="4"/>
      <c r="B46" s="5"/>
      <c r="C46" s="5"/>
      <c r="D46" s="5"/>
      <c r="E46" s="5"/>
      <c r="F46" s="5"/>
      <c r="G46" s="5"/>
      <c r="H46" s="6"/>
      <c r="I46" s="5"/>
      <c r="J46" s="5"/>
      <c r="K46" s="5"/>
      <c r="L46" s="5"/>
      <c r="M46" s="5"/>
      <c r="N46" s="5"/>
      <c r="O46" s="5"/>
      <c r="P46" s="5"/>
      <c r="Q46" s="5"/>
      <c r="R46" s="4"/>
      <c r="S46" s="5"/>
      <c r="T46" s="5"/>
      <c r="U46" s="5"/>
      <c r="V46" s="5"/>
      <c r="W46" s="5"/>
      <c r="X46" s="5"/>
      <c r="Y46" s="5"/>
      <c r="Z46" s="6"/>
    </row>
    <row r="47" spans="1:26" x14ac:dyDescent="0.25">
      <c r="A47" s="4"/>
      <c r="B47" s="5"/>
      <c r="C47" s="5"/>
      <c r="D47" s="5"/>
      <c r="E47" s="5"/>
      <c r="F47" s="5"/>
      <c r="G47" s="5"/>
      <c r="H47" s="6"/>
      <c r="I47" s="5"/>
      <c r="J47" s="5"/>
      <c r="K47" s="5"/>
      <c r="L47" s="5"/>
      <c r="M47" s="5"/>
      <c r="N47" s="5"/>
      <c r="O47" s="5"/>
      <c r="P47" s="5"/>
      <c r="Q47" s="5"/>
      <c r="R47" s="4"/>
      <c r="S47" s="5"/>
      <c r="T47" s="5"/>
      <c r="U47" s="5"/>
      <c r="V47" s="5"/>
      <c r="W47" s="5"/>
      <c r="X47" s="5"/>
      <c r="Y47" s="5"/>
      <c r="Z47" s="6"/>
    </row>
    <row r="48" spans="1:26" x14ac:dyDescent="0.25">
      <c r="A48" s="4"/>
      <c r="B48" s="5"/>
      <c r="C48" s="5"/>
      <c r="D48" s="5"/>
      <c r="E48" s="5"/>
      <c r="F48" s="5"/>
      <c r="G48" s="5"/>
      <c r="H48" s="6"/>
      <c r="I48" s="5"/>
      <c r="J48" s="5"/>
      <c r="K48" s="5"/>
      <c r="L48" s="5"/>
      <c r="M48" s="5"/>
      <c r="N48" s="5"/>
      <c r="O48" s="5"/>
      <c r="P48" s="5"/>
      <c r="Q48" s="5"/>
      <c r="R48" s="4"/>
      <c r="S48" s="5"/>
      <c r="T48" s="5"/>
      <c r="U48" s="5"/>
      <c r="V48" s="5"/>
      <c r="W48" s="5"/>
      <c r="X48" s="5"/>
      <c r="Y48" s="5"/>
      <c r="Z48" s="6"/>
    </row>
    <row r="49" spans="1:26" x14ac:dyDescent="0.25">
      <c r="A49" s="4"/>
      <c r="B49" s="5"/>
      <c r="C49" s="5"/>
      <c r="D49" s="5"/>
      <c r="E49" s="5"/>
      <c r="F49" s="5"/>
      <c r="G49" s="5"/>
      <c r="H49" s="6"/>
      <c r="I49" s="5"/>
      <c r="J49" s="5"/>
      <c r="K49" s="5"/>
      <c r="L49" s="5"/>
      <c r="M49" s="5"/>
      <c r="N49" s="5"/>
      <c r="O49" s="5"/>
      <c r="P49" s="5"/>
      <c r="Q49" s="5"/>
      <c r="R49" s="4"/>
      <c r="S49" s="5"/>
      <c r="T49" s="5"/>
      <c r="U49" s="5"/>
      <c r="V49" s="5"/>
      <c r="W49" s="5"/>
      <c r="X49" s="5"/>
      <c r="Y49" s="5"/>
      <c r="Z49" s="6"/>
    </row>
    <row r="50" spans="1:26" x14ac:dyDescent="0.25">
      <c r="A50" s="4"/>
      <c r="B50" s="5"/>
      <c r="C50" s="5"/>
      <c r="D50" s="5"/>
      <c r="E50" s="5"/>
      <c r="F50" s="5"/>
      <c r="G50" s="5"/>
      <c r="H50" s="6"/>
      <c r="I50" s="5"/>
      <c r="J50" s="5"/>
      <c r="K50" s="5"/>
      <c r="L50" s="5"/>
      <c r="M50" s="5"/>
      <c r="N50" s="5"/>
      <c r="O50" s="5"/>
      <c r="P50" s="5"/>
      <c r="Q50" s="5"/>
      <c r="R50" s="4"/>
      <c r="S50" s="5"/>
      <c r="T50" s="5"/>
      <c r="U50" s="5"/>
      <c r="V50" s="5"/>
      <c r="W50" s="5"/>
      <c r="X50" s="5"/>
      <c r="Y50" s="5"/>
      <c r="Z50" s="6"/>
    </row>
    <row r="51" spans="1:26" x14ac:dyDescent="0.25">
      <c r="A51" s="4"/>
      <c r="B51" s="5"/>
      <c r="C51" s="5"/>
      <c r="D51" s="5"/>
      <c r="E51" s="5"/>
      <c r="F51" s="5"/>
      <c r="G51" s="5"/>
      <c r="H51" s="6"/>
      <c r="I51" s="5"/>
      <c r="J51" s="5"/>
      <c r="K51" s="5"/>
      <c r="L51" s="5"/>
      <c r="M51" s="5"/>
      <c r="N51" s="5"/>
      <c r="O51" s="5"/>
      <c r="P51" s="5"/>
      <c r="Q51" s="5"/>
      <c r="R51" s="4"/>
      <c r="S51" s="5"/>
      <c r="T51" s="5"/>
      <c r="U51" s="5"/>
      <c r="V51" s="5"/>
      <c r="W51" s="5"/>
      <c r="X51" s="5"/>
      <c r="Y51" s="5"/>
      <c r="Z51" s="6"/>
    </row>
    <row r="52" spans="1:26" x14ac:dyDescent="0.25">
      <c r="A52" s="4"/>
      <c r="B52" s="5"/>
      <c r="C52" s="5"/>
      <c r="D52" s="5"/>
      <c r="E52" s="5"/>
      <c r="F52" s="5"/>
      <c r="G52" s="5"/>
      <c r="H52" s="6"/>
      <c r="I52" s="5"/>
      <c r="J52" s="5"/>
      <c r="K52" s="5"/>
      <c r="L52" s="5"/>
      <c r="M52" s="5"/>
      <c r="N52" s="5"/>
      <c r="O52" s="5"/>
      <c r="P52" s="5"/>
      <c r="Q52" s="5"/>
      <c r="R52" s="4"/>
      <c r="S52" s="5"/>
      <c r="T52" s="5"/>
      <c r="U52" s="5"/>
      <c r="V52" s="5"/>
      <c r="W52" s="5"/>
      <c r="X52" s="5"/>
      <c r="Y52" s="5"/>
      <c r="Z52" s="6"/>
    </row>
    <row r="53" spans="1:26" x14ac:dyDescent="0.25">
      <c r="A53" s="4"/>
      <c r="B53" s="5"/>
      <c r="C53" s="5"/>
      <c r="D53" s="5"/>
      <c r="E53" s="5"/>
      <c r="F53" s="5"/>
      <c r="G53" s="5"/>
      <c r="H53" s="6"/>
      <c r="I53" s="5"/>
      <c r="J53" s="5"/>
      <c r="K53" s="5"/>
      <c r="L53" s="5"/>
      <c r="M53" s="5"/>
      <c r="N53" s="5"/>
      <c r="O53" s="5"/>
      <c r="P53" s="5"/>
      <c r="Q53" s="5"/>
      <c r="R53" s="4"/>
      <c r="S53" s="5"/>
      <c r="T53" s="5"/>
      <c r="U53" s="5"/>
      <c r="V53" s="5"/>
      <c r="W53" s="5"/>
      <c r="X53" s="5"/>
      <c r="Y53" s="5"/>
      <c r="Z53" s="6"/>
    </row>
    <row r="54" spans="1:26" x14ac:dyDescent="0.25">
      <c r="A54" s="4"/>
      <c r="B54" s="5"/>
      <c r="C54" s="5"/>
      <c r="D54" s="5"/>
      <c r="E54" s="5"/>
      <c r="F54" s="5"/>
      <c r="G54" s="5"/>
      <c r="H54" s="6"/>
      <c r="I54" s="5"/>
      <c r="J54" s="5"/>
      <c r="K54" s="5"/>
      <c r="L54" s="5"/>
      <c r="M54" s="5"/>
      <c r="N54" s="5"/>
      <c r="O54" s="5"/>
      <c r="P54" s="5"/>
      <c r="Q54" s="5"/>
      <c r="R54" s="4"/>
      <c r="S54" s="5"/>
      <c r="T54" s="5"/>
      <c r="U54" s="5"/>
      <c r="V54" s="5"/>
      <c r="W54" s="5"/>
      <c r="X54" s="5"/>
      <c r="Y54" s="5"/>
      <c r="Z54" s="6"/>
    </row>
    <row r="55" spans="1:26" x14ac:dyDescent="0.25">
      <c r="A55" s="4"/>
      <c r="B55" s="5"/>
      <c r="C55" s="5"/>
      <c r="D55" s="5"/>
      <c r="E55" s="5"/>
      <c r="F55" s="5"/>
      <c r="G55" s="5"/>
      <c r="H55" s="6"/>
      <c r="I55" s="5"/>
      <c r="J55" s="5"/>
      <c r="K55" s="5"/>
      <c r="L55" s="5"/>
      <c r="M55" s="5"/>
      <c r="N55" s="5"/>
      <c r="O55" s="5"/>
      <c r="P55" s="5"/>
      <c r="Q55" s="5"/>
      <c r="R55" s="4"/>
      <c r="S55" s="5"/>
      <c r="T55" s="5"/>
      <c r="U55" s="5"/>
      <c r="V55" s="5"/>
      <c r="W55" s="5"/>
      <c r="X55" s="5"/>
      <c r="Y55" s="5"/>
      <c r="Z55" s="6"/>
    </row>
    <row r="56" spans="1:26" x14ac:dyDescent="0.25">
      <c r="A56" s="4"/>
      <c r="B56" s="5"/>
      <c r="C56" s="5"/>
      <c r="D56" s="5"/>
      <c r="E56" s="5"/>
      <c r="F56" s="5"/>
      <c r="G56" s="5"/>
      <c r="H56" s="6"/>
      <c r="I56" s="5"/>
      <c r="J56" s="5"/>
      <c r="K56" s="5"/>
      <c r="L56" s="5"/>
      <c r="M56" s="5"/>
      <c r="N56" s="5"/>
      <c r="O56" s="5"/>
      <c r="P56" s="5"/>
      <c r="Q56" s="5"/>
      <c r="R56" s="4"/>
      <c r="S56" s="5"/>
      <c r="T56" s="5"/>
      <c r="U56" s="5"/>
      <c r="V56" s="5"/>
      <c r="W56" s="5"/>
      <c r="X56" s="5"/>
      <c r="Y56" s="5"/>
      <c r="Z56" s="6"/>
    </row>
    <row r="57" spans="1:26" x14ac:dyDescent="0.25">
      <c r="A57" s="4"/>
      <c r="B57" s="5"/>
      <c r="C57" s="5"/>
      <c r="D57" s="5"/>
      <c r="E57" s="5"/>
      <c r="F57" s="5"/>
      <c r="G57" s="5"/>
      <c r="H57" s="6"/>
      <c r="I57" s="5"/>
      <c r="J57" s="5"/>
      <c r="K57" s="5"/>
      <c r="L57" s="5"/>
      <c r="M57" s="5"/>
      <c r="N57" s="5"/>
      <c r="O57" s="5"/>
      <c r="P57" s="5"/>
      <c r="Q57" s="5"/>
      <c r="R57" s="4"/>
      <c r="S57" s="5"/>
      <c r="T57" s="5"/>
      <c r="U57" s="5"/>
      <c r="V57" s="5"/>
      <c r="W57" s="5"/>
      <c r="X57" s="5"/>
      <c r="Y57" s="5"/>
      <c r="Z57" s="6"/>
    </row>
    <row r="58" spans="1:26" x14ac:dyDescent="0.25">
      <c r="A58" s="4"/>
      <c r="B58" s="5"/>
      <c r="C58" s="5"/>
      <c r="D58" s="5"/>
      <c r="E58" s="5"/>
      <c r="F58" s="5"/>
      <c r="G58" s="5"/>
      <c r="H58" s="6"/>
      <c r="I58" s="5"/>
      <c r="J58" s="5"/>
      <c r="K58" s="5"/>
      <c r="L58" s="5"/>
      <c r="M58" s="5"/>
      <c r="N58" s="5"/>
      <c r="O58" s="5"/>
      <c r="P58" s="5"/>
      <c r="Q58" s="5"/>
      <c r="R58" s="4"/>
      <c r="S58" s="5"/>
      <c r="T58" s="5"/>
      <c r="U58" s="5"/>
      <c r="V58" s="5"/>
      <c r="W58" s="5"/>
      <c r="X58" s="5"/>
      <c r="Y58" s="5"/>
      <c r="Z58" s="6"/>
    </row>
    <row r="59" spans="1:26" ht="15.75" thickBot="1" x14ac:dyDescent="0.3">
      <c r="A59" s="7"/>
      <c r="B59" s="8"/>
      <c r="C59" s="8"/>
      <c r="D59" s="8"/>
      <c r="E59" s="8"/>
      <c r="F59" s="8"/>
      <c r="G59" s="8"/>
      <c r="H59" s="9"/>
      <c r="I59" s="8"/>
      <c r="J59" s="8"/>
      <c r="K59" s="8"/>
      <c r="L59" s="8"/>
      <c r="M59" s="8"/>
      <c r="N59" s="8"/>
      <c r="O59" s="8"/>
      <c r="P59" s="8"/>
      <c r="Q59" s="8"/>
      <c r="R59" s="7"/>
      <c r="S59" s="8"/>
      <c r="T59" s="8"/>
      <c r="U59" s="8"/>
      <c r="V59" s="8"/>
      <c r="W59" s="8"/>
      <c r="X59" s="8"/>
      <c r="Y59" s="8"/>
      <c r="Z59" s="9"/>
    </row>
    <row r="60" spans="1:26" ht="15.75" thickBot="1" x14ac:dyDescent="0.3">
      <c r="A60" s="12">
        <f>SUM(A9:A59)</f>
        <v>0</v>
      </c>
      <c r="I60" s="12">
        <f>SUM(I9:I59)</f>
        <v>0</v>
      </c>
      <c r="R60" s="12">
        <f>SUM(R9:R59)</f>
        <v>0</v>
      </c>
    </row>
  </sheetData>
  <mergeCells count="3">
    <mergeCell ref="C8:H8"/>
    <mergeCell ref="L8:P8"/>
    <mergeCell ref="U8:Y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5"/>
  <sheetViews>
    <sheetView topLeftCell="U21" workbookViewId="0">
      <selection activeCell="AF3" sqref="AF3:AF53"/>
    </sheetView>
  </sheetViews>
  <sheetFormatPr defaultRowHeight="15" x14ac:dyDescent="0.25"/>
  <cols>
    <col min="1" max="1" width="12.7109375" bestFit="1" customWidth="1"/>
    <col min="9" max="9" width="17.85546875" bestFit="1" customWidth="1"/>
    <col min="16" max="16" width="11" bestFit="1" customWidth="1"/>
    <col min="20" max="20" width="12.7109375" bestFit="1" customWidth="1"/>
    <col min="22" max="22" width="12.85546875" bestFit="1" customWidth="1"/>
    <col min="33" max="33" width="10.140625" bestFit="1" customWidth="1"/>
  </cols>
  <sheetData>
    <row r="1" spans="1:48" ht="15.75" thickBot="1" x14ac:dyDescent="0.3">
      <c r="A1" s="12" t="s">
        <v>5</v>
      </c>
      <c r="I1" s="12" t="s">
        <v>15</v>
      </c>
      <c r="X1" s="12" t="s">
        <v>34</v>
      </c>
      <c r="Y1" s="12" t="s">
        <v>35</v>
      </c>
      <c r="AG1" s="16" t="s">
        <v>37</v>
      </c>
    </row>
    <row r="2" spans="1:48" ht="15.75" thickBot="1" x14ac:dyDescent="0.3">
      <c r="A2" s="1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I2" s="1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s="12" t="s">
        <v>1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F2" s="10">
        <v>0</v>
      </c>
      <c r="AG2" s="11">
        <v>1</v>
      </c>
      <c r="AH2" s="11">
        <v>2</v>
      </c>
      <c r="AI2" s="11">
        <v>3</v>
      </c>
      <c r="AJ2" s="11">
        <v>4</v>
      </c>
      <c r="AK2" s="11">
        <v>5</v>
      </c>
      <c r="AL2" s="11">
        <v>6</v>
      </c>
      <c r="AM2" s="11">
        <v>7</v>
      </c>
      <c r="AN2" s="11">
        <v>8</v>
      </c>
      <c r="AO2" s="11">
        <v>9</v>
      </c>
      <c r="AP2" s="11">
        <v>10</v>
      </c>
      <c r="AQ2" s="11">
        <v>11</v>
      </c>
      <c r="AR2" s="11">
        <v>12</v>
      </c>
      <c r="AS2" s="11">
        <v>13</v>
      </c>
      <c r="AT2" s="11">
        <v>14</v>
      </c>
      <c r="AU2" s="11">
        <v>15</v>
      </c>
      <c r="AV2" s="17">
        <v>16</v>
      </c>
    </row>
    <row r="3" spans="1:48" ht="15.75" thickBot="1" x14ac:dyDescent="0.3">
      <c r="B3">
        <f>(IF(Input!C9="Green",1,0)+IF(Input!D9="Green",1,0)+IF(Input!E9="Green",1,0)+IF(Input!F9="Green",1,0)+IF(Input!G9="Green",1,0)+IF(Input!H9="Green",1,0))*Input!A9</f>
        <v>0</v>
      </c>
      <c r="C3">
        <f>(IF(Input!C9="Red",1,0)+IF(Input!D9="Red",1,0)+IF(Input!E9="Red",1,0)+IF(Input!F9="Red",1,0)+IF(Input!G9="Red",1,0)+IF(Input!H9="Red",1,0))*Input!A9</f>
        <v>0</v>
      </c>
      <c r="D3">
        <f>(IF(Input!C9="Blue",1,0)+IF(Input!D9="Blue",1,0)+IF(Input!E9="Blue",1,0)+IF(Input!F9="Blue",1,0)+IF(Input!G9="Blue",1,0)+IF(Input!H9="Blue",1,0))*Input!A9</f>
        <v>0</v>
      </c>
      <c r="E3">
        <f>(IF(Input!C9="White",1,0)+IF(Input!D9="White",1,0)+IF(Input!E9="White",1,0)+IF(Input!F9="White",1,0)+IF(Input!G9="White",1,0)+IF(Input!H9="White",1,0))*Input!A9</f>
        <v>0</v>
      </c>
      <c r="F3">
        <f>(IF(Input!C9="Black",1,0)+IF(Input!D9="Black",1,0)+IF(Input!E9="Black",1,0)+IF(Input!F9="Black",1,0)+IF(Input!G9="Black",1,0)+IF(Input!H9="Black",1,0))*Input!A9</f>
        <v>0</v>
      </c>
      <c r="G3">
        <f>(IF(Input!C9="Colorless",1,0)+IF(Input!D9="Colorless",1,0)+IF(Input!E9="Colorless",1,0)+IF(Input!F9="Colorless",1,0)+IF(Input!G9="Colorless",1,0)+IF(Input!H9="Colorless",1,0))*Input!A9</f>
        <v>0</v>
      </c>
      <c r="J3">
        <f>(IF(Input!L9="Green",1,0)+IF(Input!M9="Green",1,0)+IF(Input!N9="Green",1,0)+IF(Input!O9="Green",1,0)+IF(Input!P9="Green",1,0))*Input!I9+(IF(Input!U9="Green",1,0)+IF(Input!V9="Green",1,0)+IF(Input!W9="Green",1,0)+IF(Input!X9="Green",1,0)+IF(Input!Y9="Green",1,0))*Input!R9</f>
        <v>0</v>
      </c>
      <c r="K3">
        <f>(IF(Input!L9="Red",1,0)+IF(Input!M9="Red",1,0)+IF(Input!N9="Red",1,0)+IF(Input!O9="Red",1,0)+IF(Input!P9="Red",1,0))*Input!I9+(IF(Input!U9="Red",1,0)+IF(Input!V9="Red",1,0)+IF(Input!W9="Red",1,0)+IF(Input!X9="Red",1,0)+IF(Input!Y9="Red",1,0))*Input!R9</f>
        <v>0</v>
      </c>
      <c r="L3">
        <f>(IF(Input!L9="Blue",1,0)+IF(Input!M9="Blue",1,0)+IF(Input!N9="Blue",1,0)+IF(Input!O9="Blue",1,0)+IF(Input!P9="Blue",1,0))*Input!I9+(IF(Input!U9="Blue",1,0)+IF(Input!V9="Blue",1,0)+IF(Input!W9="Blue",1,0)+IF(Input!X9="Blue",1,0)+IF(Input!Y9="Blue",1,0))*Input!R9</f>
        <v>0</v>
      </c>
      <c r="M3">
        <f>(IF(Input!L9="White",1,0)+IF(Input!M9="White",1,0)+IF(Input!N9="White",1,0)+IF(Input!O9="White",1,0)+IF(Input!P9="White",1,0))*Input!I9+(IF(Input!U9="White",1,0)+IF(Input!V9="White",1,0)+IF(Input!W9="White",1,0)+IF(Input!X9="White",1,0)+IF(Input!Y9="White",1,0))*Input!R9</f>
        <v>0</v>
      </c>
      <c r="N3">
        <f>(IF(Input!L9="Black",1,0)+IF(Input!M9="Black",1,0)+IF(Input!N9="Black",1,0)+IF(Input!O9="Black",1,0)+IF(Input!P9="Black",1,0))*Input!I9+(IF(Input!U9="Black",1,0)+IF(Input!V9="Black",1,0)+IF(Input!W9="Black",1,0)+IF(Input!X9="Black",1,0)+IF(Input!Y9="Black",1,0))*Input!R9</f>
        <v>0</v>
      </c>
      <c r="O3">
        <f>(IF(Input!L9="Colorless",1,0)+IF(Input!M9="Colorless",1,0)+IF(Input!N9="Colorless",1,0)+IF(Input!O9="Colorless",1,0)+IF(Input!P9="Colorless",1,0))*Input!I9+(IF(Input!U9="Colorless",1,0)+IF(Input!V9="Colorless",1,0)+IF(Input!W9="Colorless",1,0)+IF(Input!X9="Colorless",1,0)+IF(Input!Y9="Colorless",1,0))*Input!R9</f>
        <v>0</v>
      </c>
      <c r="Q3">
        <f>(IF(Input!Q9="Sorcery",1,0))*Input!I9+(IF(Input!Z9="Sorcery",1,0))*Input!R9</f>
        <v>0</v>
      </c>
      <c r="R3">
        <f>(IF(Input!Q9="Instant",1,0))*Input!I9+(IF(Input!Z9="Instant",1,0))*Input!R9</f>
        <v>0</v>
      </c>
      <c r="S3">
        <f>(IF(Input!Q9="Artifact",1,0))*Input!I9+(IF(Input!Z9="Artifact",1,0))*Input!R9</f>
        <v>0</v>
      </c>
      <c r="T3">
        <f>(IF(Input!Q9="Enchantment",1,0))*Input!I9+(IF(Input!Z9="Enchantment",1,0))*Input!R9</f>
        <v>0</v>
      </c>
      <c r="U3">
        <f>(IF(Input!Q9="Creature",1,0))*Input!I9+(IF(Input!Z9="Creature",1,0))*Input!R9</f>
        <v>0</v>
      </c>
      <c r="V3">
        <f>(IF(Input!Q9="Planeswalker",1,0))*Input!I9+(IF(Input!Z9="Planeswalker",1,0))*Input!R9</f>
        <v>0</v>
      </c>
      <c r="W3" s="12" t="s">
        <v>36</v>
      </c>
      <c r="X3">
        <v>1</v>
      </c>
      <c r="Y3" s="15" t="e">
        <f>B54/Input!$B$3*7</f>
        <v>#DIV/0!</v>
      </c>
      <c r="Z3" s="15" t="e">
        <f>C54/Input!$B$3*7</f>
        <v>#DIV/0!</v>
      </c>
      <c r="AA3" s="15" t="e">
        <f>D54/Input!$B$3*7</f>
        <v>#DIV/0!</v>
      </c>
      <c r="AB3" s="15" t="e">
        <f>E54/Input!$B$3*7</f>
        <v>#DIV/0!</v>
      </c>
      <c r="AC3" s="15" t="e">
        <f>F54/Input!$B$3*7</f>
        <v>#DIV/0!</v>
      </c>
      <c r="AD3" s="15" t="e">
        <f>G54/Input!$B$3*7</f>
        <v>#DIV/0!</v>
      </c>
      <c r="AE3" s="15"/>
      <c r="AF3">
        <f>IF(Input!K9=0,1,0)*Input!I9+IF(Input!T9=0,1,0)*Input!R9</f>
        <v>0</v>
      </c>
      <c r="AG3">
        <f>IF(Input!K9=1,1,0)*Input!I9+IF(Input!T9=1,1,0)*Input!R9</f>
        <v>0</v>
      </c>
      <c r="AH3">
        <f>IF(Input!K9=2,1,0)*Input!I9+IF(Input!T9=2,1,0)*Input!R9</f>
        <v>0</v>
      </c>
      <c r="AI3">
        <f>IF(Input!K9=3,1,0)*Input!I10+IF(Input!T9=3,1,0)*Input!R9</f>
        <v>0</v>
      </c>
      <c r="AJ3">
        <f>IF(Input!K9=4,1,0)*Input!I9+IF(Input!T9=4,1,0)*Input!R9</f>
        <v>0</v>
      </c>
      <c r="AK3">
        <f>IF(Input!K9=5,1,0)*Input!I9+IF(Input!T9=5,1,0)*Input!R9</f>
        <v>0</v>
      </c>
      <c r="AL3">
        <f>IF(Input!K9=6,1,0)*Input!I9+IF(Input!T9=6,1,0)*Input!R9</f>
        <v>0</v>
      </c>
      <c r="AM3">
        <f>IF(Input!K9=7,1,0)*Input!I9+IF(Input!T9=7,1,0)*Input!R9</f>
        <v>0</v>
      </c>
      <c r="AN3">
        <f>IF(Input!K9=8,1,0)*Input!I9+IF(Input!T9=8,1,0)*Input!R9</f>
        <v>0</v>
      </c>
      <c r="AO3">
        <f>IF(Input!K9=9,1,0)*Input!I9+IF(Input!T9=9,1,0)*Input!R9</f>
        <v>0</v>
      </c>
      <c r="AP3">
        <f>IF(Input!K9=10,1,0)*Input!I9+IF(Input!T9=10,1,0)*Input!R9</f>
        <v>0</v>
      </c>
      <c r="AQ3">
        <f>IF(Input!K9=11,1,0)*Input!I9+IF(Input!T9=11,1,0)*Input!R9</f>
        <v>0</v>
      </c>
      <c r="AR3">
        <f>IF(Input!K9=12,1,0)*Input!I9+IF(Input!T9=12,1,0)*Input!R9</f>
        <v>0</v>
      </c>
      <c r="AS3">
        <f>IF(Input!K9=13,1,0)*Input!I9+IF(Input!T9=13,1,0)*Input!R9</f>
        <v>0</v>
      </c>
      <c r="AT3">
        <f>IF(Input!K9=14,1,0)*Input!I9+IF(Input!T9=14,1,0)*Input!R9</f>
        <v>0</v>
      </c>
      <c r="AU3">
        <f>IF(Input!K9=15,1,0)*Input!I9+IF(Input!T9=15,1,0)*Input!R9</f>
        <v>0</v>
      </c>
      <c r="AV3">
        <f>IF(Input!K9=16,1,0)*Input!I9+IF(Input!T9=16,1,0)*Input!R9</f>
        <v>0</v>
      </c>
    </row>
    <row r="4" spans="1:48" x14ac:dyDescent="0.25">
      <c r="B4">
        <f>(IF(Input!C10="Green",1,0)+IF(Input!D10="Green",1,0)+IF(Input!E10="Green",1,0)+IF(Input!F10="Green",1,0)+IF(Input!G10="Green",1,0)+IF(Input!H10="Green",1,0))*Input!A10</f>
        <v>0</v>
      </c>
      <c r="C4">
        <f>(IF(Input!C10="Red",1,0)+IF(Input!D10="Red",1,0)+IF(Input!E10="Red",1,0)+IF(Input!F10="Red",1,0)+IF(Input!G10="Red",1,0)+IF(Input!H10="Red",1,0))*Input!A10</f>
        <v>0</v>
      </c>
      <c r="D4">
        <f>(IF(Input!C10="Blue",1,0)+IF(Input!D10="Blue",1,0)+IF(Input!E10="Blue",1,0)+IF(Input!F10="Blue",1,0)+IF(Input!G10="Blue",1,0)+IF(Input!H10="Blue",1,0))*Input!A10</f>
        <v>0</v>
      </c>
      <c r="E4">
        <f>(IF(Input!C10="White",1,0)+IF(Input!D10="White",1,0)+IF(Input!E10="White",1,0)+IF(Input!F10="White",1,0)+IF(Input!G10="White",1,0)+IF(Input!H10="White",1,0))*Input!A10</f>
        <v>0</v>
      </c>
      <c r="F4">
        <f>(IF(Input!C10="Black",1,0)+IF(Input!D10="Black",1,0)+IF(Input!E10="Black",1,0)+IF(Input!F10="Black",1,0)+IF(Input!G10="Black",1,0)+IF(Input!H10="Black",1,0))*Input!A10</f>
        <v>0</v>
      </c>
      <c r="G4">
        <f>(IF(Input!C10="Colorless",1,0)+IF(Input!D10="Colorless",1,0)+IF(Input!E10="Colorless",1,0)+IF(Input!F10="Colorless",1,0)+IF(Input!G10="Colorless",1,0)+IF(Input!H10="Colorless",1,0))*Input!A10</f>
        <v>0</v>
      </c>
      <c r="J4">
        <f>(IF(Input!L10="Green",1,0)+IF(Input!M10="Green",1,0)+IF(Input!N10="Green",1,0)+IF(Input!O10="Green",1,0)+IF(Input!P10="Green",1,0))*Input!I10+(IF(Input!U10="Green",1,0)+IF(Input!V10="Green",1,0)+IF(Input!W10="Green",1,0)+IF(Input!X10="Green",1,0)+IF(Input!Y10="Green",1,0))*Input!R10</f>
        <v>0</v>
      </c>
      <c r="K4">
        <f>(IF(Input!L10="Red",1,0)+IF(Input!M10="Red",1,0)+IF(Input!N10="Red",1,0)+IF(Input!O10="Red",1,0)+IF(Input!P10="Red",1,0))*Input!I10+(IF(Input!U10="Red",1,0)+IF(Input!V10="Red",1,0)+IF(Input!W10="Red",1,0)+IF(Input!X10="Red",1,0)+IF(Input!Y10="Red",1,0))*Input!R10</f>
        <v>0</v>
      </c>
      <c r="L4">
        <f>(IF(Input!L10="Blue",1,0)+IF(Input!M10="Blue",1,0)+IF(Input!N10="Blue",1,0)+IF(Input!O10="Blue",1,0)+IF(Input!P10="Blue",1,0))*Input!I10+(IF(Input!U10="Blue",1,0)+IF(Input!V10="Blue",1,0)+IF(Input!W10="Blue",1,0)+IF(Input!X10="Blue",1,0)+IF(Input!Y10="Blue",1,0))*Input!R10</f>
        <v>0</v>
      </c>
      <c r="M4">
        <f>(IF(Input!L10="White",1,0)+IF(Input!M10="White",1,0)+IF(Input!N10="White",1,0)+IF(Input!O10="White",1,0)+IF(Input!P10="White",1,0))*Input!I10+(IF(Input!U10="White",1,0)+IF(Input!V10="White",1,0)+IF(Input!W10="White",1,0)+IF(Input!X10="White",1,0)+IF(Input!Y10="White",1,0))*Input!R10</f>
        <v>0</v>
      </c>
      <c r="N4">
        <f>(IF(Input!L10="Black",1,0)+IF(Input!M10="Black",1,0)+IF(Input!N10="Black",1,0)+IF(Input!O10="Black",1,0)+IF(Input!P10="Black",1,0))*Input!I10+(IF(Input!U10="Black",1,0)+IF(Input!V10="Black",1,0)+IF(Input!W10="Black",1,0)+IF(Input!X10="Black",1,0)+IF(Input!Y10="Black",1,0))*Input!R10</f>
        <v>0</v>
      </c>
      <c r="O4">
        <f>(IF(Input!L10="Colorless",1,0)+IF(Input!M10="Colorless",1,0)+IF(Input!N10="Colorless",1,0)+IF(Input!O10="Colorless",1,0)+IF(Input!P10="Colorless",1,0))*Input!I10+(IF(Input!U10="Colorless",1,0)+IF(Input!V10="Colorless",1,0)+IF(Input!W10="Colorless",1,0)+IF(Input!X10="Colorless",1,0)+IF(Input!Y10="Colorless",1,0))*Input!R10</f>
        <v>0</v>
      </c>
      <c r="Q4">
        <f>(IF(Input!Q10="Sorcery",1,0))*Input!I10+(IF(Input!Z10="Sorcery",1,0))*Input!R10</f>
        <v>0</v>
      </c>
      <c r="R4">
        <f>(IF(Input!Q10="Instant",1,0))*Input!I10+(IF(Input!Z10="Instant",1,0))*Input!R10</f>
        <v>0</v>
      </c>
      <c r="S4">
        <f>(IF(Input!Q10="Artifact",1,0))*Input!I10+(IF(Input!Z10="Artifact",1,0))*Input!R10</f>
        <v>0</v>
      </c>
      <c r="T4">
        <f>(IF(Input!Q10="Enchantment",1,0))*Input!I10+(IF(Input!Z10="Enchantment",1,0))*Input!R10</f>
        <v>0</v>
      </c>
      <c r="U4">
        <f>(IF(Input!Q10="Creature",1,0))*Input!I10+(IF(Input!Z10="Creature",1,0))*Input!R10</f>
        <v>0</v>
      </c>
      <c r="V4">
        <f>(IF(Input!Q10="Planeswalker",1,0))*Input!I10+(IF(Input!Z10="Planeswalker",1,0))*Input!R10</f>
        <v>0</v>
      </c>
      <c r="X4">
        <v>2</v>
      </c>
      <c r="Y4" s="15" t="e">
        <f>B54/Input!$B$3*8</f>
        <v>#DIV/0!</v>
      </c>
      <c r="Z4" s="15" t="e">
        <f>C54/Input!$B$3*8</f>
        <v>#DIV/0!</v>
      </c>
      <c r="AA4" s="15" t="e">
        <f>D54/Input!$B$3*8</f>
        <v>#DIV/0!</v>
      </c>
      <c r="AB4" s="15" t="e">
        <f>E54/Input!$B$3*8</f>
        <v>#DIV/0!</v>
      </c>
      <c r="AC4" s="15" t="e">
        <f>F54/Input!$B$3*8</f>
        <v>#DIV/0!</v>
      </c>
      <c r="AD4" s="15" t="e">
        <f>G54/Input!$B$3*8</f>
        <v>#DIV/0!</v>
      </c>
      <c r="AE4" s="15"/>
      <c r="AF4">
        <f>IF(Input!K10=0,1,0)*Input!I10+IF(Input!T10=0,1,0)*Input!R10</f>
        <v>0</v>
      </c>
      <c r="AG4">
        <f>IF(Input!K10=1,1,0)*Input!I10+IF(Input!T10=1,1,0)*Input!R10</f>
        <v>0</v>
      </c>
      <c r="AH4">
        <f>IF(Input!K10=2,1,0)*Input!I10+IF(Input!T10=2,1,0)*Input!R10</f>
        <v>0</v>
      </c>
      <c r="AI4">
        <f>IF(Input!K10=3,1,0)*Input!I11+IF(Input!T10=3,1,0)*Input!R10</f>
        <v>0</v>
      </c>
      <c r="AJ4">
        <f>IF(Input!K10=4,1,0)*Input!I10+IF(Input!T10=4,1,0)*Input!R10</f>
        <v>0</v>
      </c>
      <c r="AK4">
        <f>IF(Input!K10=5,1,0)*Input!I10+IF(Input!T10=5,1,0)*Input!R10</f>
        <v>0</v>
      </c>
      <c r="AL4">
        <f>IF(Input!K10=6,1,0)*Input!I10+IF(Input!T10=6,1,0)*Input!R10</f>
        <v>0</v>
      </c>
      <c r="AM4">
        <f>IF(Input!K10=7,1,0)*Input!I10+IF(Input!T10=7,1,0)*Input!R10</f>
        <v>0</v>
      </c>
      <c r="AN4">
        <f>IF(Input!K10=8,1,0)*Input!I10+IF(Input!T10=8,1,0)*Input!R10</f>
        <v>0</v>
      </c>
      <c r="AO4">
        <f>IF(Input!K10=9,1,0)*Input!I10+IF(Input!T10=9,1,0)*Input!R10</f>
        <v>0</v>
      </c>
      <c r="AP4">
        <f>IF(Input!K10=10,1,0)*Input!I10+IF(Input!T10=10,1,0)*Input!R10</f>
        <v>0</v>
      </c>
      <c r="AQ4">
        <f>IF(Input!K10=11,1,0)*Input!I10+IF(Input!T10=11,1,0)*Input!R10</f>
        <v>0</v>
      </c>
      <c r="AR4">
        <f>IF(Input!K10=12,1,0)*Input!I10+IF(Input!T10=12,1,0)*Input!R10</f>
        <v>0</v>
      </c>
      <c r="AS4">
        <f>IF(Input!K10=13,1,0)*Input!I10+IF(Input!T10=13,1,0)*Input!R10</f>
        <v>0</v>
      </c>
      <c r="AT4">
        <f>IF(Input!K10=14,1,0)*Input!I10+IF(Input!T10=14,1,0)*Input!R10</f>
        <v>0</v>
      </c>
      <c r="AU4">
        <f>IF(Input!K10=15,1,0)*Input!I10+IF(Input!T10=15,1,0)*Input!R10</f>
        <v>0</v>
      </c>
      <c r="AV4">
        <f>IF(Input!K10=16,1,0)*Input!I10+IF(Input!T10=16,1,0)*Input!R10</f>
        <v>0</v>
      </c>
    </row>
    <row r="5" spans="1:48" x14ac:dyDescent="0.25">
      <c r="B5">
        <f>(IF(Input!C11="Green",1,0)+IF(Input!D11="Green",1,0)+IF(Input!E11="Green",1,0)+IF(Input!F11="Green",1,0)+IF(Input!G11="Green",1,0)+IF(Input!H11="Green",1,0))*Input!A11</f>
        <v>0</v>
      </c>
      <c r="C5">
        <f>(IF(Input!C11="Red",1,0)+IF(Input!D11="Red",1,0)+IF(Input!E11="Red",1,0)+IF(Input!F11="Red",1,0)+IF(Input!G11="Red",1,0)+IF(Input!H11="Red",1,0))*Input!A11</f>
        <v>0</v>
      </c>
      <c r="D5">
        <f>(IF(Input!C11="Blue",1,0)+IF(Input!D11="Blue",1,0)+IF(Input!E11="Blue",1,0)+IF(Input!F11="Blue",1,0)+IF(Input!G11="Blue",1,0)+IF(Input!H11="Blue",1,0))*Input!A11</f>
        <v>0</v>
      </c>
      <c r="E5">
        <f>(IF(Input!C11="White",1,0)+IF(Input!D11="White",1,0)+IF(Input!E11="White",1,0)+IF(Input!F11="White",1,0)+IF(Input!G11="White",1,0)+IF(Input!H11="White",1,0))*Input!A11</f>
        <v>0</v>
      </c>
      <c r="F5">
        <f>(IF(Input!C11="Black",1,0)+IF(Input!D11="Black",1,0)+IF(Input!E11="Black",1,0)+IF(Input!F11="Black",1,0)+IF(Input!G11="Black",1,0)+IF(Input!H11="Black",1,0))*Input!A11</f>
        <v>0</v>
      </c>
      <c r="G5">
        <f>(IF(Input!C11="Colorless",1,0)+IF(Input!D11="Colorless",1,0)+IF(Input!E11="Colorless",1,0)+IF(Input!F11="Colorless",1,0)+IF(Input!G11="Colorless",1,0)+IF(Input!H11="Colorless",1,0))*Input!A11</f>
        <v>0</v>
      </c>
      <c r="J5">
        <f>(IF(Input!L11="Green",1,0)+IF(Input!M11="Green",1,0)+IF(Input!N11="Green",1,0)+IF(Input!O11="Green",1,0)+IF(Input!P11="Green",1,0))*Input!I11+(IF(Input!U11="Green",1,0)+IF(Input!V11="Green",1,0)+IF(Input!W11="Green",1,0)+IF(Input!X11="Green",1,0)+IF(Input!Y11="Green",1,0))*Input!R11</f>
        <v>0</v>
      </c>
      <c r="K5">
        <f>(IF(Input!L11="Red",1,0)+IF(Input!M11="Red",1,0)+IF(Input!N11="Red",1,0)+IF(Input!O11="Red",1,0)+IF(Input!P11="Red",1,0))*Input!I11+(IF(Input!U11="Red",1,0)+IF(Input!V11="Red",1,0)+IF(Input!W11="Red",1,0)+IF(Input!X11="Red",1,0)+IF(Input!Y11="Red",1,0))*Input!R11</f>
        <v>0</v>
      </c>
      <c r="L5">
        <f>(IF(Input!L11="Blue",1,0)+IF(Input!M11="Blue",1,0)+IF(Input!N11="Blue",1,0)+IF(Input!O11="Blue",1,0)+IF(Input!P11="Blue",1,0))*Input!I11+(IF(Input!U11="Blue",1,0)+IF(Input!V11="Blue",1,0)+IF(Input!W11="Blue",1,0)+IF(Input!X11="Blue",1,0)+IF(Input!Y11="Blue",1,0))*Input!R11</f>
        <v>0</v>
      </c>
      <c r="M5">
        <f>(IF(Input!L11="White",1,0)+IF(Input!M11="White",1,0)+IF(Input!N11="White",1,0)+IF(Input!O11="White",1,0)+IF(Input!P11="White",1,0))*Input!I11+(IF(Input!U11="White",1,0)+IF(Input!V11="White",1,0)+IF(Input!W11="White",1,0)+IF(Input!X11="White",1,0)+IF(Input!Y11="White",1,0))*Input!R11</f>
        <v>0</v>
      </c>
      <c r="N5">
        <f>(IF(Input!L11="Black",1,0)+IF(Input!M11="Black",1,0)+IF(Input!N11="Black",1,0)+IF(Input!O11="Black",1,0)+IF(Input!P11="Black",1,0))*Input!I11+(IF(Input!U11="Black",1,0)+IF(Input!V11="Black",1,0)+IF(Input!W11="Black",1,0)+IF(Input!X11="Black",1,0)+IF(Input!Y11="Black",1,0))*Input!R11</f>
        <v>0</v>
      </c>
      <c r="O5">
        <f>(IF(Input!L11="Colorless",1,0)+IF(Input!M11="Colorless",1,0)+IF(Input!N11="Colorless",1,0)+IF(Input!O11="Colorless",1,0)+IF(Input!P11="Colorless",1,0))*Input!I11+(IF(Input!U11="Colorless",1,0)+IF(Input!V11="Colorless",1,0)+IF(Input!W11="Colorless",1,0)+IF(Input!X11="Colorless",1,0)+IF(Input!Y11="Colorless",1,0))*Input!R11</f>
        <v>0</v>
      </c>
      <c r="Q5">
        <f>(IF(Input!Q11="Sorcery",1,0))*Input!I11+(IF(Input!Z11="Sorcery",1,0))*Input!R11</f>
        <v>0</v>
      </c>
      <c r="R5">
        <f>(IF(Input!Q11="Instant",1,0))*Input!I11+(IF(Input!Z11="Instant",1,0))*Input!R11</f>
        <v>0</v>
      </c>
      <c r="S5">
        <f>(IF(Input!Q11="Artifact",1,0))*Input!I11+(IF(Input!Z11="Artifact",1,0))*Input!R11</f>
        <v>0</v>
      </c>
      <c r="T5">
        <f>(IF(Input!Q11="Enchantment",1,0))*Input!I11+(IF(Input!Z11="Enchantment",1,0))*Input!R11</f>
        <v>0</v>
      </c>
      <c r="U5">
        <f>(IF(Input!Q11="Creature",1,0))*Input!I11+(IF(Input!Z11="Creature",1,0))*Input!R11</f>
        <v>0</v>
      </c>
      <c r="V5">
        <f>(IF(Input!Q11="Planeswalker",1,0))*Input!I11+(IF(Input!Z11="Planeswalker",1,0))*Input!R11</f>
        <v>0</v>
      </c>
      <c r="X5">
        <v>3</v>
      </c>
      <c r="Y5" s="15" t="e">
        <f>B54/Input!$B$3*9</f>
        <v>#DIV/0!</v>
      </c>
      <c r="Z5" s="15" t="e">
        <f>C54/Input!$B$3*9</f>
        <v>#DIV/0!</v>
      </c>
      <c r="AA5" s="15" t="e">
        <f>D54/Input!$B$3*9</f>
        <v>#DIV/0!</v>
      </c>
      <c r="AB5" s="15" t="e">
        <f>E54/Input!$B$3*9</f>
        <v>#DIV/0!</v>
      </c>
      <c r="AC5" s="15" t="e">
        <f>F54/Input!$B$3*9</f>
        <v>#DIV/0!</v>
      </c>
      <c r="AD5" s="15" t="e">
        <f>G54/Input!$B$3*9</f>
        <v>#DIV/0!</v>
      </c>
      <c r="AE5" s="15"/>
      <c r="AF5">
        <f>IF(Input!K11=0,1,0)*Input!I11+IF(Input!T11=0,1,0)*Input!R11</f>
        <v>0</v>
      </c>
      <c r="AG5">
        <f>IF(Input!K11=1,1,0)*Input!I11+IF(Input!T11=1,1,0)*Input!R11</f>
        <v>0</v>
      </c>
      <c r="AH5">
        <f>IF(Input!K11=2,1,0)*Input!I11+IF(Input!T11=2,1,0)*Input!R11</f>
        <v>0</v>
      </c>
      <c r="AI5">
        <f>IF(Input!K11=3,1,0)*Input!I12+IF(Input!T11=3,1,0)*Input!R11</f>
        <v>0</v>
      </c>
      <c r="AJ5">
        <f>IF(Input!K11=4,1,0)*Input!I11+IF(Input!T11=4,1,0)*Input!R11</f>
        <v>0</v>
      </c>
      <c r="AK5">
        <f>IF(Input!K11=5,1,0)*Input!I11+IF(Input!T11=5,1,0)*Input!R11</f>
        <v>0</v>
      </c>
      <c r="AL5">
        <f>IF(Input!K11=6,1,0)*Input!I11+IF(Input!T11=6,1,0)*Input!R11</f>
        <v>0</v>
      </c>
      <c r="AM5">
        <f>IF(Input!K11=7,1,0)*Input!I11+IF(Input!T11=7,1,0)*Input!R11</f>
        <v>0</v>
      </c>
      <c r="AN5">
        <f>IF(Input!K11=8,1,0)*Input!I11+IF(Input!T11=8,1,0)*Input!R11</f>
        <v>0</v>
      </c>
      <c r="AO5">
        <f>IF(Input!K11=9,1,0)*Input!I11+IF(Input!T11=9,1,0)*Input!R11</f>
        <v>0</v>
      </c>
      <c r="AP5">
        <f>IF(Input!K11=10,1,0)*Input!I11+IF(Input!T11=10,1,0)*Input!R11</f>
        <v>0</v>
      </c>
      <c r="AQ5">
        <f>IF(Input!K11=11,1,0)*Input!I11+IF(Input!T11=11,1,0)*Input!R11</f>
        <v>0</v>
      </c>
      <c r="AR5">
        <f>IF(Input!K11=12,1,0)*Input!I11+IF(Input!T11=12,1,0)*Input!R11</f>
        <v>0</v>
      </c>
      <c r="AS5">
        <f>IF(Input!K11=13,1,0)*Input!I11+IF(Input!T11=13,1,0)*Input!R11</f>
        <v>0</v>
      </c>
      <c r="AT5">
        <f>IF(Input!K11=14,1,0)*Input!I11+IF(Input!T11=14,1,0)*Input!R11</f>
        <v>0</v>
      </c>
      <c r="AU5">
        <f>IF(Input!K11=15,1,0)*Input!I11+IF(Input!T11=15,1,0)*Input!R11</f>
        <v>0</v>
      </c>
      <c r="AV5">
        <f>IF(Input!K11=16,1,0)*Input!I11+IF(Input!T11=16,1,0)*Input!R11</f>
        <v>0</v>
      </c>
    </row>
    <row r="6" spans="1:48" x14ac:dyDescent="0.25">
      <c r="B6">
        <f>(IF(Input!C12="Green",1,0)+IF(Input!D12="Green",1,0)+IF(Input!E12="Green",1,0)+IF(Input!F12="Green",1,0)+IF(Input!G12="Green",1,0)+IF(Input!H12="Green",1,0))*Input!A12</f>
        <v>0</v>
      </c>
      <c r="C6">
        <f>(IF(Input!C12="Red",1,0)+IF(Input!D12="Red",1,0)+IF(Input!E12="Red",1,0)+IF(Input!F12="Red",1,0)+IF(Input!G12="Red",1,0)+IF(Input!H12="Red",1,0))*Input!A12</f>
        <v>0</v>
      </c>
      <c r="D6">
        <f>(IF(Input!C12="Blue",1,0)+IF(Input!D12="Blue",1,0)+IF(Input!E12="Blue",1,0)+IF(Input!F12="Blue",1,0)+IF(Input!G12="Blue",1,0)+IF(Input!H12="Blue",1,0))*Input!A12</f>
        <v>0</v>
      </c>
      <c r="E6">
        <f>(IF(Input!C12="White",1,0)+IF(Input!D12="White",1,0)+IF(Input!E12="White",1,0)+IF(Input!F12="White",1,0)+IF(Input!G12="White",1,0)+IF(Input!H12="White",1,0))*Input!A12</f>
        <v>0</v>
      </c>
      <c r="F6">
        <f>(IF(Input!C12="Black",1,0)+IF(Input!D12="Black",1,0)+IF(Input!E12="Black",1,0)+IF(Input!F12="Black",1,0)+IF(Input!G12="Black",1,0)+IF(Input!H12="Black",1,0))*Input!A12</f>
        <v>0</v>
      </c>
      <c r="G6">
        <f>(IF(Input!C12="Colorless",1,0)+IF(Input!D12="Colorless",1,0)+IF(Input!E12="Colorless",1,0)+IF(Input!F12="Colorless",1,0)+IF(Input!G12="Colorless",1,0)+IF(Input!H12="Colorless",1,0))*Input!A12</f>
        <v>0</v>
      </c>
      <c r="J6">
        <f>(IF(Input!L12="Green",1,0)+IF(Input!M12="Green",1,0)+IF(Input!N12="Green",1,0)+IF(Input!O12="Green",1,0)+IF(Input!P12="Green",1,0))*Input!I12+(IF(Input!U12="Green",1,0)+IF(Input!V12="Green",1,0)+IF(Input!W12="Green",1,0)+IF(Input!X12="Green",1,0)+IF(Input!Y12="Green",1,0))*Input!R12</f>
        <v>0</v>
      </c>
      <c r="K6">
        <f>(IF(Input!L12="Red",1,0)+IF(Input!M12="Red",1,0)+IF(Input!N12="Red",1,0)+IF(Input!O12="Red",1,0)+IF(Input!P12="Red",1,0))*Input!I12+(IF(Input!U12="Red",1,0)+IF(Input!V12="Red",1,0)+IF(Input!W12="Red",1,0)+IF(Input!X12="Red",1,0)+IF(Input!Y12="Red",1,0))*Input!R12</f>
        <v>0</v>
      </c>
      <c r="L6">
        <f>(IF(Input!L12="Blue",1,0)+IF(Input!M12="Blue",1,0)+IF(Input!N12="Blue",1,0)+IF(Input!O12="Blue",1,0)+IF(Input!P12="Blue",1,0))*Input!I12+(IF(Input!U12="Blue",1,0)+IF(Input!V12="Blue",1,0)+IF(Input!W12="Blue",1,0)+IF(Input!X12="Blue",1,0)+IF(Input!Y12="Blue",1,0))*Input!R12</f>
        <v>0</v>
      </c>
      <c r="M6">
        <f>(IF(Input!L12="White",1,0)+IF(Input!M12="White",1,0)+IF(Input!N12="White",1,0)+IF(Input!O12="White",1,0)+IF(Input!P12="White",1,0))*Input!I12+(IF(Input!U12="White",1,0)+IF(Input!V12="White",1,0)+IF(Input!W12="White",1,0)+IF(Input!X12="White",1,0)+IF(Input!Y12="White",1,0))*Input!R12</f>
        <v>0</v>
      </c>
      <c r="N6">
        <f>(IF(Input!L12="Black",1,0)+IF(Input!M12="Black",1,0)+IF(Input!N12="Black",1,0)+IF(Input!O12="Black",1,0)+IF(Input!P12="Black",1,0))*Input!I12+(IF(Input!U12="Black",1,0)+IF(Input!V12="Black",1,0)+IF(Input!W12="Black",1,0)+IF(Input!X12="Black",1,0)+IF(Input!Y12="Black",1,0))*Input!R12</f>
        <v>0</v>
      </c>
      <c r="O6">
        <f>(IF(Input!L12="Colorless",1,0)+IF(Input!M12="Colorless",1,0)+IF(Input!N12="Colorless",1,0)+IF(Input!O12="Colorless",1,0)+IF(Input!P12="Colorless",1,0))*Input!I12+(IF(Input!U12="Colorless",1,0)+IF(Input!V12="Colorless",1,0)+IF(Input!W12="Colorless",1,0)+IF(Input!X12="Colorless",1,0)+IF(Input!Y12="Colorless",1,0))*Input!R12</f>
        <v>0</v>
      </c>
      <c r="Q6">
        <f>(IF(Input!Q12="Sorcery",1,0))*Input!I12+(IF(Input!Z12="Sorcery",1,0))*Input!R12</f>
        <v>0</v>
      </c>
      <c r="R6">
        <f>(IF(Input!Q12="Instant",1,0))*Input!I12+(IF(Input!Z12="Instant",1,0))*Input!R12</f>
        <v>0</v>
      </c>
      <c r="S6">
        <f>(IF(Input!Q12="Artifact",1,0))*Input!I12+(IF(Input!Z12="Artifact",1,0))*Input!R12</f>
        <v>0</v>
      </c>
      <c r="T6">
        <f>(IF(Input!Q12="Enchantment",1,0))*Input!I12+(IF(Input!Z12="Enchantment",1,0))*Input!R12</f>
        <v>0</v>
      </c>
      <c r="U6">
        <f>(IF(Input!Q12="Creature",1,0))*Input!I12+(IF(Input!Z12="Creature",1,0))*Input!R12</f>
        <v>0</v>
      </c>
      <c r="V6">
        <f>(IF(Input!Q12="Planeswalker",1,0))*Input!I12+(IF(Input!Z12="Planeswalker",1,0))*Input!R12</f>
        <v>0</v>
      </c>
      <c r="X6">
        <v>4</v>
      </c>
      <c r="Y6" s="15" t="e">
        <f>B54/Input!$B$3*10</f>
        <v>#DIV/0!</v>
      </c>
      <c r="Z6" s="15" t="e">
        <f>C54/Input!$B$3*10</f>
        <v>#DIV/0!</v>
      </c>
      <c r="AA6" s="15" t="e">
        <f>D54/Input!$B$3*10</f>
        <v>#DIV/0!</v>
      </c>
      <c r="AB6" s="15" t="e">
        <f>E54/Input!$B$3*10</f>
        <v>#DIV/0!</v>
      </c>
      <c r="AC6" s="15" t="e">
        <f>F54/Input!$B$3*10</f>
        <v>#DIV/0!</v>
      </c>
      <c r="AD6" s="15" t="e">
        <f>G54/Input!$B$3*10</f>
        <v>#DIV/0!</v>
      </c>
      <c r="AE6" s="15"/>
      <c r="AF6">
        <f>IF(Input!K12=0,1,0)*Input!I12+IF(Input!T12=0,1,0)*Input!R12</f>
        <v>0</v>
      </c>
      <c r="AG6">
        <f>IF(Input!K12=1,1,0)*Input!I12+IF(Input!T12=1,1,0)*Input!R12</f>
        <v>0</v>
      </c>
      <c r="AH6">
        <f>IF(Input!K12=2,1,0)*Input!I12+IF(Input!T12=2,1,0)*Input!R12</f>
        <v>0</v>
      </c>
      <c r="AI6">
        <f>IF(Input!K12=3,1,0)*Input!I13+IF(Input!T12=3,1,0)*Input!R12</f>
        <v>0</v>
      </c>
      <c r="AJ6">
        <f>IF(Input!K12=4,1,0)*Input!I12+IF(Input!T12=4,1,0)*Input!R12</f>
        <v>0</v>
      </c>
      <c r="AK6">
        <f>IF(Input!K12=5,1,0)*Input!I12+IF(Input!T12=5,1,0)*Input!R12</f>
        <v>0</v>
      </c>
      <c r="AL6">
        <f>IF(Input!K12=6,1,0)*Input!I12+IF(Input!T12=6,1,0)*Input!R12</f>
        <v>0</v>
      </c>
      <c r="AM6">
        <f>IF(Input!K12=7,1,0)*Input!I12+IF(Input!T12=7,1,0)*Input!R12</f>
        <v>0</v>
      </c>
      <c r="AN6">
        <f>IF(Input!K12=8,1,0)*Input!I12+IF(Input!T12=8,1,0)*Input!R12</f>
        <v>0</v>
      </c>
      <c r="AO6">
        <f>IF(Input!K12=9,1,0)*Input!I12+IF(Input!T12=9,1,0)*Input!R12</f>
        <v>0</v>
      </c>
      <c r="AP6">
        <f>IF(Input!K12=10,1,0)*Input!I12+IF(Input!T12=10,1,0)*Input!R12</f>
        <v>0</v>
      </c>
      <c r="AQ6">
        <f>IF(Input!K12=11,1,0)*Input!I12+IF(Input!T12=11,1,0)*Input!R12</f>
        <v>0</v>
      </c>
      <c r="AR6">
        <f>IF(Input!K12=12,1,0)*Input!I12+IF(Input!T12=12,1,0)*Input!R12</f>
        <v>0</v>
      </c>
      <c r="AS6">
        <f>IF(Input!K12=13,1,0)*Input!I12+IF(Input!T12=13,1,0)*Input!R12</f>
        <v>0</v>
      </c>
      <c r="AT6">
        <f>IF(Input!K12=14,1,0)*Input!I12+IF(Input!T12=14,1,0)*Input!R12</f>
        <v>0</v>
      </c>
      <c r="AU6">
        <f>IF(Input!K12=15,1,0)*Input!I12+IF(Input!T12=15,1,0)*Input!R12</f>
        <v>0</v>
      </c>
      <c r="AV6">
        <f>IF(Input!K12=16,1,0)*Input!I12+IF(Input!T12=16,1,0)*Input!R12</f>
        <v>0</v>
      </c>
    </row>
    <row r="7" spans="1:48" x14ac:dyDescent="0.25">
      <c r="B7">
        <f>(IF(Input!C13="Green",1,0)+IF(Input!D13="Green",1,0)+IF(Input!E13="Green",1,0)+IF(Input!F13="Green",1,0)+IF(Input!G13="Green",1,0)+IF(Input!H13="Green",1,0))*Input!A13</f>
        <v>0</v>
      </c>
      <c r="C7">
        <f>(IF(Input!C13="Red",1,0)+IF(Input!D13="Red",1,0)+IF(Input!E13="Red",1,0)+IF(Input!F13="Red",1,0)+IF(Input!G13="Red",1,0)+IF(Input!H13="Red",1,0))*Input!A13</f>
        <v>0</v>
      </c>
      <c r="D7">
        <f>(IF(Input!C13="Blue",1,0)+IF(Input!D13="Blue",1,0)+IF(Input!E13="Blue",1,0)+IF(Input!F13="Blue",1,0)+IF(Input!G13="Blue",1,0)+IF(Input!H13="Blue",1,0))*Input!A13</f>
        <v>0</v>
      </c>
      <c r="E7">
        <f>(IF(Input!C13="White",1,0)+IF(Input!D13="White",1,0)+IF(Input!E13="White",1,0)+IF(Input!F13="White",1,0)+IF(Input!G13="White",1,0)+IF(Input!H13="White",1,0))*Input!A13</f>
        <v>0</v>
      </c>
      <c r="F7">
        <f>(IF(Input!C13="Black",1,0)+IF(Input!D13="Black",1,0)+IF(Input!E13="Black",1,0)+IF(Input!F13="Black",1,0)+IF(Input!G13="Black",1,0)+IF(Input!H13="Black",1,0))*Input!A13</f>
        <v>0</v>
      </c>
      <c r="G7">
        <f>(IF(Input!C13="Colorless",1,0)+IF(Input!D13="Colorless",1,0)+IF(Input!E13="Colorless",1,0)+IF(Input!F13="Colorless",1,0)+IF(Input!G13="Colorless",1,0)+IF(Input!H13="Colorless",1,0))*Input!A13</f>
        <v>0</v>
      </c>
      <c r="J7">
        <f>(IF(Input!L13="Green",1,0)+IF(Input!M13="Green",1,0)+IF(Input!N13="Green",1,0)+IF(Input!O13="Green",1,0)+IF(Input!P13="Green",1,0))*Input!I13+(IF(Input!U13="Green",1,0)+IF(Input!V13="Green",1,0)+IF(Input!W13="Green",1,0)+IF(Input!X13="Green",1,0)+IF(Input!Y13="Green",1,0))*Input!R13</f>
        <v>0</v>
      </c>
      <c r="K7">
        <f>(IF(Input!L13="Red",1,0)+IF(Input!M13="Red",1,0)+IF(Input!N13="Red",1,0)+IF(Input!O13="Red",1,0)+IF(Input!P13="Red",1,0))*Input!I13+(IF(Input!U13="Red",1,0)+IF(Input!V13="Red",1,0)+IF(Input!W13="Red",1,0)+IF(Input!X13="Red",1,0)+IF(Input!Y13="Red",1,0))*Input!R13</f>
        <v>0</v>
      </c>
      <c r="L7">
        <f>(IF(Input!L13="Blue",1,0)+IF(Input!M13="Blue",1,0)+IF(Input!N13="Blue",1,0)+IF(Input!O13="Blue",1,0)+IF(Input!P13="Blue",1,0))*Input!I13+(IF(Input!U13="Blue",1,0)+IF(Input!V13="Blue",1,0)+IF(Input!W13="Blue",1,0)+IF(Input!X13="Blue",1,0)+IF(Input!Y13="Blue",1,0))*Input!R13</f>
        <v>0</v>
      </c>
      <c r="M7">
        <f>(IF(Input!L13="White",1,0)+IF(Input!M13="White",1,0)+IF(Input!N13="White",1,0)+IF(Input!O13="White",1,0)+IF(Input!P13="White",1,0))*Input!I13+(IF(Input!U13="White",1,0)+IF(Input!V13="White",1,0)+IF(Input!W13="White",1,0)+IF(Input!X13="White",1,0)+IF(Input!Y13="White",1,0))*Input!R13</f>
        <v>0</v>
      </c>
      <c r="N7">
        <f>(IF(Input!L13="Black",1,0)+IF(Input!M13="Black",1,0)+IF(Input!N13="Black",1,0)+IF(Input!O13="Black",1,0)+IF(Input!P13="Black",1,0))*Input!I13+(IF(Input!U13="Black",1,0)+IF(Input!V13="Black",1,0)+IF(Input!W13="Black",1,0)+IF(Input!X13="Black",1,0)+IF(Input!Y13="Black",1,0))*Input!R13</f>
        <v>0</v>
      </c>
      <c r="O7">
        <f>(IF(Input!L13="Colorless",1,0)+IF(Input!M13="Colorless",1,0)+IF(Input!N13="Colorless",1,0)+IF(Input!O13="Colorless",1,0)+IF(Input!P13="Colorless",1,0))*Input!I13+(IF(Input!U13="Colorless",1,0)+IF(Input!V13="Colorless",1,0)+IF(Input!W13="Colorless",1,0)+IF(Input!X13="Colorless",1,0)+IF(Input!Y13="Colorless",1,0))*Input!R13</f>
        <v>0</v>
      </c>
      <c r="Q7">
        <f>(IF(Input!Q13="Sorcery",1,0))*Input!I13+(IF(Input!Z13="Sorcery",1,0))*Input!R13</f>
        <v>0</v>
      </c>
      <c r="R7">
        <f>(IF(Input!Q13="Instant",1,0))*Input!I13+(IF(Input!Z13="Instant",1,0))*Input!R13</f>
        <v>0</v>
      </c>
      <c r="S7">
        <f>(IF(Input!Q13="Artifact",1,0))*Input!I13+(IF(Input!Z13="Artifact",1,0))*Input!R13</f>
        <v>0</v>
      </c>
      <c r="T7">
        <f>(IF(Input!Q13="Enchantment",1,0))*Input!I13+(IF(Input!Z13="Enchantment",1,0))*Input!R13</f>
        <v>0</v>
      </c>
      <c r="U7">
        <f>(IF(Input!Q13="Creature",1,0))*Input!I13+(IF(Input!Z13="Creature",1,0))*Input!R13</f>
        <v>0</v>
      </c>
      <c r="V7">
        <f>(IF(Input!Q13="Planeswalker",1,0))*Input!I13+(IF(Input!Z13="Planeswalker",1,0))*Input!R13</f>
        <v>0</v>
      </c>
      <c r="X7">
        <v>5</v>
      </c>
      <c r="Y7" s="15" t="e">
        <f>B54/Input!$B$3*11</f>
        <v>#DIV/0!</v>
      </c>
      <c r="Z7" s="15" t="e">
        <f>C54/Input!$B$3*11</f>
        <v>#DIV/0!</v>
      </c>
      <c r="AA7" s="15" t="e">
        <f>D54/Input!$B$3*11</f>
        <v>#DIV/0!</v>
      </c>
      <c r="AB7" s="15" t="e">
        <f>E54/Input!$B$3*11</f>
        <v>#DIV/0!</v>
      </c>
      <c r="AC7" s="15" t="e">
        <f>F54/Input!$B$3*11</f>
        <v>#DIV/0!</v>
      </c>
      <c r="AD7" s="15" t="e">
        <f>G54/Input!$B$3*11</f>
        <v>#DIV/0!</v>
      </c>
      <c r="AE7" s="15"/>
      <c r="AF7">
        <f>IF(Input!K13=0,1,0)*Input!I13+IF(Input!T13=0,1,0)*Input!R13</f>
        <v>0</v>
      </c>
      <c r="AG7">
        <f>IF(Input!K13=1,1,0)*Input!I13+IF(Input!T13=1,1,0)*Input!R13</f>
        <v>0</v>
      </c>
      <c r="AH7">
        <f>IF(Input!K13=2,1,0)*Input!I13+IF(Input!T13=2,1,0)*Input!R13</f>
        <v>0</v>
      </c>
      <c r="AI7">
        <f>IF(Input!K13=3,1,0)*Input!I14+IF(Input!T13=3,1,0)*Input!R13</f>
        <v>0</v>
      </c>
      <c r="AJ7">
        <f>IF(Input!K13=4,1,0)*Input!I13+IF(Input!T13=4,1,0)*Input!R13</f>
        <v>0</v>
      </c>
      <c r="AK7">
        <f>IF(Input!K13=5,1,0)*Input!I13+IF(Input!T13=5,1,0)*Input!R13</f>
        <v>0</v>
      </c>
      <c r="AL7">
        <f>IF(Input!K13=6,1,0)*Input!I13+IF(Input!T13=6,1,0)*Input!R13</f>
        <v>0</v>
      </c>
      <c r="AM7">
        <f>IF(Input!K13=7,1,0)*Input!I13+IF(Input!T13=7,1,0)*Input!R13</f>
        <v>0</v>
      </c>
      <c r="AN7">
        <f>IF(Input!K13=8,1,0)*Input!I13+IF(Input!T13=8,1,0)*Input!R13</f>
        <v>0</v>
      </c>
      <c r="AO7">
        <f>IF(Input!K13=9,1,0)*Input!I13+IF(Input!T13=9,1,0)*Input!R13</f>
        <v>0</v>
      </c>
      <c r="AP7">
        <f>IF(Input!K13=10,1,0)*Input!I13+IF(Input!T13=10,1,0)*Input!R13</f>
        <v>0</v>
      </c>
      <c r="AQ7">
        <f>IF(Input!K13=11,1,0)*Input!I13+IF(Input!T13=11,1,0)*Input!R13</f>
        <v>0</v>
      </c>
      <c r="AR7">
        <f>IF(Input!K13=12,1,0)*Input!I13+IF(Input!T13=12,1,0)*Input!R13</f>
        <v>0</v>
      </c>
      <c r="AS7">
        <f>IF(Input!K13=13,1,0)*Input!I13+IF(Input!T13=13,1,0)*Input!R13</f>
        <v>0</v>
      </c>
      <c r="AT7">
        <f>IF(Input!K13=14,1,0)*Input!I13+IF(Input!T13=14,1,0)*Input!R13</f>
        <v>0</v>
      </c>
      <c r="AU7">
        <f>IF(Input!K13=15,1,0)*Input!I13+IF(Input!T13=15,1,0)*Input!R13</f>
        <v>0</v>
      </c>
      <c r="AV7">
        <f>IF(Input!K13=16,1,0)*Input!I13+IF(Input!T13=16,1,0)*Input!R13</f>
        <v>0</v>
      </c>
    </row>
    <row r="8" spans="1:48" x14ac:dyDescent="0.25">
      <c r="B8">
        <f>(IF(Input!C14="Green",1,0)+IF(Input!D14="Green",1,0)+IF(Input!E14="Green",1,0)+IF(Input!F14="Green",1,0)+IF(Input!G14="Green",1,0)+IF(Input!H14="Green",1,0))*Input!A14</f>
        <v>0</v>
      </c>
      <c r="C8">
        <f>(IF(Input!C14="Red",1,0)+IF(Input!D14="Red",1,0)+IF(Input!E14="Red",1,0)+IF(Input!F14="Red",1,0)+IF(Input!G14="Red",1,0)+IF(Input!H14="Red",1,0))*Input!A14</f>
        <v>0</v>
      </c>
      <c r="D8">
        <f>(IF(Input!C14="Blue",1,0)+IF(Input!D14="Blue",1,0)+IF(Input!E14="Blue",1,0)+IF(Input!F14="Blue",1,0)+IF(Input!G14="Blue",1,0)+IF(Input!H14="Blue",1,0))*Input!A14</f>
        <v>0</v>
      </c>
      <c r="E8">
        <f>(IF(Input!C14="White",1,0)+IF(Input!D14="White",1,0)+IF(Input!E14="White",1,0)+IF(Input!F14="White",1,0)+IF(Input!G14="White",1,0)+IF(Input!H14="White",1,0))*Input!A14</f>
        <v>0</v>
      </c>
      <c r="F8">
        <f>(IF(Input!C14="Black",1,0)+IF(Input!D14="Black",1,0)+IF(Input!E14="Black",1,0)+IF(Input!F14="Black",1,0)+IF(Input!G14="Black",1,0)+IF(Input!H14="Black",1,0))*Input!A14</f>
        <v>0</v>
      </c>
      <c r="G8">
        <f>(IF(Input!C14="Colorless",1,0)+IF(Input!D14="Colorless",1,0)+IF(Input!E14="Colorless",1,0)+IF(Input!F14="Colorless",1,0)+IF(Input!G14="Colorless",1,0)+IF(Input!H14="Colorless",1,0))*Input!A14</f>
        <v>0</v>
      </c>
      <c r="J8">
        <f>(IF(Input!L14="Green",1,0)+IF(Input!M14="Green",1,0)+IF(Input!N14="Green",1,0)+IF(Input!O14="Green",1,0)+IF(Input!P14="Green",1,0))*Input!I14+(IF(Input!U14="Green",1,0)+IF(Input!V14="Green",1,0)+IF(Input!W14="Green",1,0)+IF(Input!X14="Green",1,0)+IF(Input!Y14="Green",1,0))*Input!R14</f>
        <v>0</v>
      </c>
      <c r="K8">
        <f>(IF(Input!L14="Red",1,0)+IF(Input!M14="Red",1,0)+IF(Input!N14="Red",1,0)+IF(Input!O14="Red",1,0)+IF(Input!P14="Red",1,0))*Input!I14+(IF(Input!U14="Red",1,0)+IF(Input!V14="Red",1,0)+IF(Input!W14="Red",1,0)+IF(Input!X14="Red",1,0)+IF(Input!Y14="Red",1,0))*Input!R14</f>
        <v>0</v>
      </c>
      <c r="L8">
        <f>(IF(Input!L14="Blue",1,0)+IF(Input!M14="Blue",1,0)+IF(Input!N14="Blue",1,0)+IF(Input!O14="Blue",1,0)+IF(Input!P14="Blue",1,0))*Input!I14+(IF(Input!U14="Blue",1,0)+IF(Input!V14="Blue",1,0)+IF(Input!W14="Blue",1,0)+IF(Input!X14="Blue",1,0)+IF(Input!Y14="Blue",1,0))*Input!R14</f>
        <v>0</v>
      </c>
      <c r="M8">
        <f>(IF(Input!L14="White",1,0)+IF(Input!M14="White",1,0)+IF(Input!N14="White",1,0)+IF(Input!O14="White",1,0)+IF(Input!P14="White",1,0))*Input!I14+(IF(Input!U14="White",1,0)+IF(Input!V14="White",1,0)+IF(Input!W14="White",1,0)+IF(Input!X14="White",1,0)+IF(Input!Y14="White",1,0))*Input!R14</f>
        <v>0</v>
      </c>
      <c r="N8">
        <f>(IF(Input!L14="Black",1,0)+IF(Input!M14="Black",1,0)+IF(Input!N14="Black",1,0)+IF(Input!O14="Black",1,0)+IF(Input!P14="Black",1,0))*Input!I14+(IF(Input!U14="Black",1,0)+IF(Input!V14="Black",1,0)+IF(Input!W14="Black",1,0)+IF(Input!X14="Black",1,0)+IF(Input!Y14="Black",1,0))*Input!R14</f>
        <v>0</v>
      </c>
      <c r="O8">
        <f>(IF(Input!L14="Colorless",1,0)+IF(Input!M14="Colorless",1,0)+IF(Input!N14="Colorless",1,0)+IF(Input!O14="Colorless",1,0)+IF(Input!P14="Colorless",1,0))*Input!I14+(IF(Input!U14="Colorless",1,0)+IF(Input!V14="Colorless",1,0)+IF(Input!W14="Colorless",1,0)+IF(Input!X14="Colorless",1,0)+IF(Input!Y14="Colorless",1,0))*Input!R14</f>
        <v>0</v>
      </c>
      <c r="Q8">
        <f>(IF(Input!Q14="Sorcery",1,0))*Input!I14+(IF(Input!Z14="Sorcery",1,0))*Input!R14</f>
        <v>0</v>
      </c>
      <c r="R8">
        <f>(IF(Input!Q14="Instant",1,0))*Input!I14+(IF(Input!Z14="Instant",1,0))*Input!R14</f>
        <v>0</v>
      </c>
      <c r="S8">
        <f>(IF(Input!Q14="Artifact",1,0))*Input!I14+(IF(Input!Z14="Artifact",1,0))*Input!R14</f>
        <v>0</v>
      </c>
      <c r="T8">
        <f>(IF(Input!Q14="Enchantment",1,0))*Input!I14+(IF(Input!Z14="Enchantment",1,0))*Input!R14</f>
        <v>0</v>
      </c>
      <c r="U8">
        <f>(IF(Input!Q14="Creature",1,0))*Input!I14+(IF(Input!Z14="Creature",1,0))*Input!R14</f>
        <v>0</v>
      </c>
      <c r="V8">
        <f>(IF(Input!Q14="Planeswalker",1,0))*Input!I14+(IF(Input!Z14="Planeswalker",1,0))*Input!R14</f>
        <v>0</v>
      </c>
      <c r="AF8">
        <f>IF(Input!K14=0,1,0)*Input!I14+IF(Input!T14=0,1,0)*Input!R14</f>
        <v>0</v>
      </c>
      <c r="AG8">
        <f>IF(Input!K14=1,1,0)*Input!I14+IF(Input!T14=1,1,0)*Input!R14</f>
        <v>0</v>
      </c>
      <c r="AH8">
        <f>IF(Input!K14=2,1,0)*Input!I14+IF(Input!T14=2,1,0)*Input!R14</f>
        <v>0</v>
      </c>
      <c r="AI8">
        <f>IF(Input!K14=3,1,0)*Input!I15+IF(Input!T14=3,1,0)*Input!R14</f>
        <v>0</v>
      </c>
      <c r="AJ8">
        <f>IF(Input!K14=4,1,0)*Input!I14+IF(Input!T14=4,1,0)*Input!R14</f>
        <v>0</v>
      </c>
      <c r="AK8">
        <f>IF(Input!K14=5,1,0)*Input!I14+IF(Input!T14=5,1,0)*Input!R14</f>
        <v>0</v>
      </c>
      <c r="AL8">
        <f>IF(Input!K14=6,1,0)*Input!I14+IF(Input!T14=6,1,0)*Input!R14</f>
        <v>0</v>
      </c>
      <c r="AM8">
        <f>IF(Input!K14=7,1,0)*Input!I14+IF(Input!T14=7,1,0)*Input!R14</f>
        <v>0</v>
      </c>
      <c r="AN8">
        <f>IF(Input!K14=8,1,0)*Input!I14+IF(Input!T14=8,1,0)*Input!R14</f>
        <v>0</v>
      </c>
      <c r="AO8">
        <f>IF(Input!K14=9,1,0)*Input!I14+IF(Input!T14=9,1,0)*Input!R14</f>
        <v>0</v>
      </c>
      <c r="AP8">
        <f>IF(Input!K14=10,1,0)*Input!I14+IF(Input!T14=10,1,0)*Input!R14</f>
        <v>0</v>
      </c>
      <c r="AQ8">
        <f>IF(Input!K14=11,1,0)*Input!I14+IF(Input!T14=11,1,0)*Input!R14</f>
        <v>0</v>
      </c>
      <c r="AR8">
        <f>IF(Input!K14=12,1,0)*Input!I14+IF(Input!T14=12,1,0)*Input!R14</f>
        <v>0</v>
      </c>
      <c r="AS8">
        <f>IF(Input!K14=13,1,0)*Input!I14+IF(Input!T14=13,1,0)*Input!R14</f>
        <v>0</v>
      </c>
      <c r="AT8">
        <f>IF(Input!K14=14,1,0)*Input!I14+IF(Input!T14=14,1,0)*Input!R14</f>
        <v>0</v>
      </c>
      <c r="AU8">
        <f>IF(Input!K14=15,1,0)*Input!I14+IF(Input!T14=15,1,0)*Input!R14</f>
        <v>0</v>
      </c>
      <c r="AV8">
        <f>IF(Input!K14=16,1,0)*Input!I14+IF(Input!T14=16,1,0)*Input!R14</f>
        <v>0</v>
      </c>
    </row>
    <row r="9" spans="1:48" x14ac:dyDescent="0.25">
      <c r="B9">
        <f>(IF(Input!C15="Green",1,0)+IF(Input!D15="Green",1,0)+IF(Input!E15="Green",1,0)+IF(Input!F15="Green",1,0)+IF(Input!G15="Green",1,0)+IF(Input!H15="Green",1,0))*Input!A15</f>
        <v>0</v>
      </c>
      <c r="C9">
        <f>(IF(Input!C15="Red",1,0)+IF(Input!D15="Red",1,0)+IF(Input!E15="Red",1,0)+IF(Input!F15="Red",1,0)+IF(Input!G15="Red",1,0)+IF(Input!H15="Red",1,0))*Input!A15</f>
        <v>0</v>
      </c>
      <c r="D9">
        <f>(IF(Input!C15="Blue",1,0)+IF(Input!D15="Blue",1,0)+IF(Input!E15="Blue",1,0)+IF(Input!F15="Blue",1,0)+IF(Input!G15="Blue",1,0)+IF(Input!H15="Blue",1,0))*Input!A15</f>
        <v>0</v>
      </c>
      <c r="E9">
        <f>(IF(Input!C15="White",1,0)+IF(Input!D15="White",1,0)+IF(Input!E15="White",1,0)+IF(Input!F15="White",1,0)+IF(Input!G15="White",1,0)+IF(Input!H15="White",1,0))*Input!A15</f>
        <v>0</v>
      </c>
      <c r="F9">
        <f>(IF(Input!C15="Black",1,0)+IF(Input!D15="Black",1,0)+IF(Input!E15="Black",1,0)+IF(Input!F15="Black",1,0)+IF(Input!G15="Black",1,0)+IF(Input!H15="Black",1,0))*Input!A15</f>
        <v>0</v>
      </c>
      <c r="G9">
        <f>(IF(Input!C15="Colorless",1,0)+IF(Input!D15="Colorless",1,0)+IF(Input!E15="Colorless",1,0)+IF(Input!F15="Colorless",1,0)+IF(Input!G15="Colorless",1,0)+IF(Input!H15="Colorless",1,0))*Input!A15</f>
        <v>0</v>
      </c>
      <c r="J9">
        <f>(IF(Input!L15="Green",1,0)+IF(Input!M15="Green",1,0)+IF(Input!N15="Green",1,0)+IF(Input!O15="Green",1,0)+IF(Input!P15="Green",1,0))*Input!I15+(IF(Input!U15="Green",1,0)+IF(Input!V15="Green",1,0)+IF(Input!W15="Green",1,0)+IF(Input!X15="Green",1,0)+IF(Input!Y15="Green",1,0))*Input!R15</f>
        <v>0</v>
      </c>
      <c r="K9">
        <f>(IF(Input!L15="Red",1,0)+IF(Input!M15="Red",1,0)+IF(Input!N15="Red",1,0)+IF(Input!O15="Red",1,0)+IF(Input!P15="Red",1,0))*Input!I15+(IF(Input!U15="Red",1,0)+IF(Input!V15="Red",1,0)+IF(Input!W15="Red",1,0)+IF(Input!X15="Red",1,0)+IF(Input!Y15="Red",1,0))*Input!R15</f>
        <v>0</v>
      </c>
      <c r="L9">
        <f>(IF(Input!L15="Blue",1,0)+IF(Input!M15="Blue",1,0)+IF(Input!N15="Blue",1,0)+IF(Input!O15="Blue",1,0)+IF(Input!P15="Blue",1,0))*Input!I15+(IF(Input!U15="Blue",1,0)+IF(Input!V15="Blue",1,0)+IF(Input!W15="Blue",1,0)+IF(Input!X15="Blue",1,0)+IF(Input!Y15="Blue",1,0))*Input!R15</f>
        <v>0</v>
      </c>
      <c r="M9">
        <f>(IF(Input!L15="White",1,0)+IF(Input!M15="White",1,0)+IF(Input!N15="White",1,0)+IF(Input!O15="White",1,0)+IF(Input!P15="White",1,0))*Input!I15+(IF(Input!U15="White",1,0)+IF(Input!V15="White",1,0)+IF(Input!W15="White",1,0)+IF(Input!X15="White",1,0)+IF(Input!Y15="White",1,0))*Input!R15</f>
        <v>0</v>
      </c>
      <c r="N9">
        <f>(IF(Input!L15="Black",1,0)+IF(Input!M15="Black",1,0)+IF(Input!N15="Black",1,0)+IF(Input!O15="Black",1,0)+IF(Input!P15="Black",1,0))*Input!I15+(IF(Input!U15="Black",1,0)+IF(Input!V15="Black",1,0)+IF(Input!W15="Black",1,0)+IF(Input!X15="Black",1,0)+IF(Input!Y15="Black",1,0))*Input!R15</f>
        <v>0</v>
      </c>
      <c r="O9">
        <f>(IF(Input!L15="Colorless",1,0)+IF(Input!M15="Colorless",1,0)+IF(Input!N15="Colorless",1,0)+IF(Input!O15="Colorless",1,0)+IF(Input!P15="Colorless",1,0))*Input!I15+(IF(Input!U15="Colorless",1,0)+IF(Input!V15="Colorless",1,0)+IF(Input!W15="Colorless",1,0)+IF(Input!X15="Colorless",1,0)+IF(Input!Y15="Colorless",1,0))*Input!R15</f>
        <v>0</v>
      </c>
      <c r="Q9">
        <f>(IF(Input!Q15="Sorcery",1,0))*Input!I15+(IF(Input!Z15="Sorcery",1,0))*Input!R15</f>
        <v>0</v>
      </c>
      <c r="R9">
        <f>(IF(Input!Q15="Instant",1,0))*Input!I15+(IF(Input!Z15="Instant",1,0))*Input!R15</f>
        <v>0</v>
      </c>
      <c r="S9">
        <f>(IF(Input!Q15="Artifact",1,0))*Input!I15+(IF(Input!Z15="Artifact",1,0))*Input!R15</f>
        <v>0</v>
      </c>
      <c r="T9">
        <f>(IF(Input!Q15="Enchantment",1,0))*Input!I15+(IF(Input!Z15="Enchantment",1,0))*Input!R15</f>
        <v>0</v>
      </c>
      <c r="U9">
        <f>(IF(Input!Q15="Creature",1,0))*Input!I15+(IF(Input!Z15="Creature",1,0))*Input!R15</f>
        <v>0</v>
      </c>
      <c r="V9">
        <f>(IF(Input!Q15="Planeswalker",1,0))*Input!I15+(IF(Input!Z15="Planeswalker",1,0))*Input!R15</f>
        <v>0</v>
      </c>
      <c r="AF9">
        <f>IF(Input!K15=0,1,0)*Input!I15+IF(Input!T15=0,1,0)*Input!R15</f>
        <v>0</v>
      </c>
      <c r="AG9">
        <f>IF(Input!K15=1,1,0)*Input!I15+IF(Input!T15=1,1,0)*Input!R15</f>
        <v>0</v>
      </c>
      <c r="AH9">
        <f>IF(Input!K15=2,1,0)*Input!I15+IF(Input!T15=2,1,0)*Input!R15</f>
        <v>0</v>
      </c>
      <c r="AI9">
        <f>IF(Input!K15=3,1,0)*Input!I16+IF(Input!T15=3,1,0)*Input!R15</f>
        <v>0</v>
      </c>
      <c r="AJ9">
        <f>IF(Input!K15=4,1,0)*Input!I15+IF(Input!T15=4,1,0)*Input!R15</f>
        <v>0</v>
      </c>
      <c r="AK9">
        <f>IF(Input!K15=5,1,0)*Input!I15+IF(Input!T15=5,1,0)*Input!R15</f>
        <v>0</v>
      </c>
      <c r="AL9">
        <f>IF(Input!K15=6,1,0)*Input!I15+IF(Input!T15=6,1,0)*Input!R15</f>
        <v>0</v>
      </c>
      <c r="AM9">
        <f>IF(Input!K15=7,1,0)*Input!I15+IF(Input!T15=7,1,0)*Input!R15</f>
        <v>0</v>
      </c>
      <c r="AN9">
        <f>IF(Input!K15=8,1,0)*Input!I15+IF(Input!T15=8,1,0)*Input!R15</f>
        <v>0</v>
      </c>
      <c r="AO9">
        <f>IF(Input!K15=9,1,0)*Input!I15+IF(Input!T15=9,1,0)*Input!R15</f>
        <v>0</v>
      </c>
      <c r="AP9">
        <f>IF(Input!K15=10,1,0)*Input!I15+IF(Input!T15=10,1,0)*Input!R15</f>
        <v>0</v>
      </c>
      <c r="AQ9">
        <f>IF(Input!K15=11,1,0)*Input!I15+IF(Input!T15=11,1,0)*Input!R15</f>
        <v>0</v>
      </c>
      <c r="AR9">
        <f>IF(Input!K15=12,1,0)*Input!I15+IF(Input!T15=12,1,0)*Input!R15</f>
        <v>0</v>
      </c>
      <c r="AS9">
        <f>IF(Input!K15=13,1,0)*Input!I15+IF(Input!T15=13,1,0)*Input!R15</f>
        <v>0</v>
      </c>
      <c r="AT9">
        <f>IF(Input!K15=14,1,0)*Input!I15+IF(Input!T15=14,1,0)*Input!R15</f>
        <v>0</v>
      </c>
      <c r="AU9">
        <f>IF(Input!K15=15,1,0)*Input!I15+IF(Input!T15=15,1,0)*Input!R15</f>
        <v>0</v>
      </c>
      <c r="AV9">
        <f>IF(Input!K15=16,1,0)*Input!I15+IF(Input!T15=16,1,0)*Input!R15</f>
        <v>0</v>
      </c>
    </row>
    <row r="10" spans="1:48" x14ac:dyDescent="0.25">
      <c r="B10">
        <f>(IF(Input!C16="Green",1,0)+IF(Input!D16="Green",1,0)+IF(Input!E16="Green",1,0)+IF(Input!F16="Green",1,0)+IF(Input!G16="Green",1,0)+IF(Input!H16="Green",1,0))*Input!A16</f>
        <v>0</v>
      </c>
      <c r="C10">
        <f>(IF(Input!C16="Red",1,0)+IF(Input!D16="Red",1,0)+IF(Input!E16="Red",1,0)+IF(Input!F16="Red",1,0)+IF(Input!G16="Red",1,0)+IF(Input!H16="Red",1,0))*Input!A16</f>
        <v>0</v>
      </c>
      <c r="D10">
        <f>(IF(Input!C16="Blue",1,0)+IF(Input!D16="Blue",1,0)+IF(Input!E16="Blue",1,0)+IF(Input!F16="Blue",1,0)+IF(Input!G16="Blue",1,0)+IF(Input!H16="Blue",1,0))*Input!A16</f>
        <v>0</v>
      </c>
      <c r="E10">
        <f>(IF(Input!C16="White",1,0)+IF(Input!D16="White",1,0)+IF(Input!E16="White",1,0)+IF(Input!F16="White",1,0)+IF(Input!G16="White",1,0)+IF(Input!H16="White",1,0))*Input!A16</f>
        <v>0</v>
      </c>
      <c r="F10">
        <f>(IF(Input!C16="Black",1,0)+IF(Input!D16="Black",1,0)+IF(Input!E16="Black",1,0)+IF(Input!F16="Black",1,0)+IF(Input!G16="Black",1,0)+IF(Input!H16="Black",1,0))*Input!A16</f>
        <v>0</v>
      </c>
      <c r="G10">
        <f>(IF(Input!C16="Colorless",1,0)+IF(Input!D16="Colorless",1,0)+IF(Input!E16="Colorless",1,0)+IF(Input!F16="Colorless",1,0)+IF(Input!G16="Colorless",1,0)+IF(Input!H16="Colorless",1,0))*Input!A16</f>
        <v>0</v>
      </c>
      <c r="J10">
        <f>(IF(Input!L16="Green",1,0)+IF(Input!M16="Green",1,0)+IF(Input!N16="Green",1,0)+IF(Input!O16="Green",1,0)+IF(Input!P16="Green",1,0))*Input!I16+(IF(Input!U16="Green",1,0)+IF(Input!V16="Green",1,0)+IF(Input!W16="Green",1,0)+IF(Input!X16="Green",1,0)+IF(Input!Y16="Green",1,0))*Input!R16</f>
        <v>0</v>
      </c>
      <c r="K10">
        <f>(IF(Input!L16="Red",1,0)+IF(Input!M16="Red",1,0)+IF(Input!N16="Red",1,0)+IF(Input!O16="Red",1,0)+IF(Input!P16="Red",1,0))*Input!I16+(IF(Input!U16="Red",1,0)+IF(Input!V16="Red",1,0)+IF(Input!W16="Red",1,0)+IF(Input!X16="Red",1,0)+IF(Input!Y16="Red",1,0))*Input!R16</f>
        <v>0</v>
      </c>
      <c r="L10">
        <f>(IF(Input!L16="Blue",1,0)+IF(Input!M16="Blue",1,0)+IF(Input!N16="Blue",1,0)+IF(Input!O16="Blue",1,0)+IF(Input!P16="Blue",1,0))*Input!I16+(IF(Input!U16="Blue",1,0)+IF(Input!V16="Blue",1,0)+IF(Input!W16="Blue",1,0)+IF(Input!X16="Blue",1,0)+IF(Input!Y16="Blue",1,0))*Input!R16</f>
        <v>0</v>
      </c>
      <c r="M10">
        <f>(IF(Input!L16="White",1,0)+IF(Input!M16="White",1,0)+IF(Input!N16="White",1,0)+IF(Input!O16="White",1,0)+IF(Input!P16="White",1,0))*Input!I16+(IF(Input!U16="White",1,0)+IF(Input!V16="White",1,0)+IF(Input!W16="White",1,0)+IF(Input!X16="White",1,0)+IF(Input!Y16="White",1,0))*Input!R16</f>
        <v>0</v>
      </c>
      <c r="N10">
        <f>(IF(Input!L16="Black",1,0)+IF(Input!M16="Black",1,0)+IF(Input!N16="Black",1,0)+IF(Input!O16="Black",1,0)+IF(Input!P16="Black",1,0))*Input!I16+(IF(Input!U16="Black",1,0)+IF(Input!V16="Black",1,0)+IF(Input!W16="Black",1,0)+IF(Input!X16="Black",1,0)+IF(Input!Y16="Black",1,0))*Input!R16</f>
        <v>0</v>
      </c>
      <c r="O10">
        <f>(IF(Input!L16="Colorless",1,0)+IF(Input!M16="Colorless",1,0)+IF(Input!N16="Colorless",1,0)+IF(Input!O16="Colorless",1,0)+IF(Input!P16="Colorless",1,0))*Input!I16+(IF(Input!U16="Colorless",1,0)+IF(Input!V16="Colorless",1,0)+IF(Input!W16="Colorless",1,0)+IF(Input!X16="Colorless",1,0)+IF(Input!Y16="Colorless",1,0))*Input!R16</f>
        <v>0</v>
      </c>
      <c r="Q10">
        <f>(IF(Input!Q16="Sorcery",1,0))*Input!I16+(IF(Input!Z16="Sorcery",1,0))*Input!R16</f>
        <v>0</v>
      </c>
      <c r="R10">
        <f>(IF(Input!Q16="Instant",1,0))*Input!I16+(IF(Input!Z16="Instant",1,0))*Input!R16</f>
        <v>0</v>
      </c>
      <c r="S10">
        <f>(IF(Input!Q16="Artifact",1,0))*Input!I16+(IF(Input!Z16="Artifact",1,0))*Input!R16</f>
        <v>0</v>
      </c>
      <c r="T10">
        <f>(IF(Input!Q16="Enchantment",1,0))*Input!I16+(IF(Input!Z16="Enchantment",1,0))*Input!R16</f>
        <v>0</v>
      </c>
      <c r="U10">
        <f>(IF(Input!Q16="Creature",1,0))*Input!I16+(IF(Input!Z16="Creature",1,0))*Input!R16</f>
        <v>0</v>
      </c>
      <c r="V10">
        <f>(IF(Input!Q16="Planeswalker",1,0))*Input!I16+(IF(Input!Z16="Planeswalker",1,0))*Input!R16</f>
        <v>0</v>
      </c>
      <c r="AF10">
        <f>IF(Input!K16=0,1,0)*Input!I16+IF(Input!T16=0,1,0)*Input!R16</f>
        <v>0</v>
      </c>
      <c r="AG10">
        <f>IF(Input!K16=1,1,0)*Input!I16+IF(Input!T16=1,1,0)*Input!R16</f>
        <v>0</v>
      </c>
      <c r="AH10">
        <f>IF(Input!K16=2,1,0)*Input!I16+IF(Input!T16=2,1,0)*Input!R16</f>
        <v>0</v>
      </c>
      <c r="AI10">
        <f>IF(Input!K16=3,1,0)*Input!I17+IF(Input!T16=3,1,0)*Input!R16</f>
        <v>0</v>
      </c>
      <c r="AJ10">
        <f>IF(Input!K16=4,1,0)*Input!I16+IF(Input!T16=4,1,0)*Input!R16</f>
        <v>0</v>
      </c>
      <c r="AK10">
        <f>IF(Input!K16=5,1,0)*Input!I16+IF(Input!T16=5,1,0)*Input!R16</f>
        <v>0</v>
      </c>
      <c r="AL10">
        <f>IF(Input!K16=6,1,0)*Input!I16+IF(Input!T16=6,1,0)*Input!R16</f>
        <v>0</v>
      </c>
      <c r="AM10">
        <f>IF(Input!K16=7,1,0)*Input!I16+IF(Input!T16=7,1,0)*Input!R16</f>
        <v>0</v>
      </c>
      <c r="AN10">
        <f>IF(Input!K16=8,1,0)*Input!I16+IF(Input!T16=8,1,0)*Input!R16</f>
        <v>0</v>
      </c>
      <c r="AO10">
        <f>IF(Input!K16=9,1,0)*Input!I16+IF(Input!T16=9,1,0)*Input!R16</f>
        <v>0</v>
      </c>
      <c r="AP10">
        <f>IF(Input!K16=10,1,0)*Input!I16+IF(Input!T16=10,1,0)*Input!R16</f>
        <v>0</v>
      </c>
      <c r="AQ10">
        <f>IF(Input!K16=11,1,0)*Input!I16+IF(Input!T16=11,1,0)*Input!R16</f>
        <v>0</v>
      </c>
      <c r="AR10">
        <f>IF(Input!K16=12,1,0)*Input!I16+IF(Input!T16=12,1,0)*Input!R16</f>
        <v>0</v>
      </c>
      <c r="AS10">
        <f>IF(Input!K16=13,1,0)*Input!I16+IF(Input!T16=13,1,0)*Input!R16</f>
        <v>0</v>
      </c>
      <c r="AT10">
        <f>IF(Input!K16=14,1,0)*Input!I16+IF(Input!T16=14,1,0)*Input!R16</f>
        <v>0</v>
      </c>
      <c r="AU10">
        <f>IF(Input!K16=15,1,0)*Input!I16+IF(Input!T16=15,1,0)*Input!R16</f>
        <v>0</v>
      </c>
      <c r="AV10">
        <f>IF(Input!K16=16,1,0)*Input!I16+IF(Input!T16=16,1,0)*Input!R16</f>
        <v>0</v>
      </c>
    </row>
    <row r="11" spans="1:48" x14ac:dyDescent="0.25">
      <c r="B11">
        <f>(IF(Input!C17="Green",1,0)+IF(Input!D17="Green",1,0)+IF(Input!E17="Green",1,0)+IF(Input!F17="Green",1,0)+IF(Input!G17="Green",1,0)+IF(Input!H17="Green",1,0))*Input!A17</f>
        <v>0</v>
      </c>
      <c r="C11">
        <f>(IF(Input!C17="Red",1,0)+IF(Input!D17="Red",1,0)+IF(Input!E17="Red",1,0)+IF(Input!F17="Red",1,0)+IF(Input!G17="Red",1,0)+IF(Input!H17="Red",1,0))*Input!A17</f>
        <v>0</v>
      </c>
      <c r="D11">
        <f>(IF(Input!C17="Blue",1,0)+IF(Input!D17="Blue",1,0)+IF(Input!E17="Blue",1,0)+IF(Input!F17="Blue",1,0)+IF(Input!G17="Blue",1,0)+IF(Input!H17="Blue",1,0))*Input!A17</f>
        <v>0</v>
      </c>
      <c r="E11">
        <f>(IF(Input!C17="White",1,0)+IF(Input!D17="White",1,0)+IF(Input!E17="White",1,0)+IF(Input!F17="White",1,0)+IF(Input!G17="White",1,0)+IF(Input!H17="White",1,0))*Input!A17</f>
        <v>0</v>
      </c>
      <c r="F11">
        <f>(IF(Input!C17="Black",1,0)+IF(Input!D17="Black",1,0)+IF(Input!E17="Black",1,0)+IF(Input!F17="Black",1,0)+IF(Input!G17="Black",1,0)+IF(Input!H17="Black",1,0))*Input!A17</f>
        <v>0</v>
      </c>
      <c r="G11">
        <f>(IF(Input!C17="Colorless",1,0)+IF(Input!D17="Colorless",1,0)+IF(Input!E17="Colorless",1,0)+IF(Input!F17="Colorless",1,0)+IF(Input!G17="Colorless",1,0)+IF(Input!H17="Colorless",1,0))*Input!A17</f>
        <v>0</v>
      </c>
      <c r="J11">
        <f>(IF(Input!L17="Green",1,0)+IF(Input!M17="Green",1,0)+IF(Input!N17="Green",1,0)+IF(Input!O17="Green",1,0)+IF(Input!P17="Green",1,0))*Input!I17+(IF(Input!U17="Green",1,0)+IF(Input!V17="Green",1,0)+IF(Input!W17="Green",1,0)+IF(Input!X17="Green",1,0)+IF(Input!Y17="Green",1,0))*Input!R17</f>
        <v>0</v>
      </c>
      <c r="K11">
        <f>(IF(Input!L17="Red",1,0)+IF(Input!M17="Red",1,0)+IF(Input!N17="Red",1,0)+IF(Input!O17="Red",1,0)+IF(Input!P17="Red",1,0))*Input!I17+(IF(Input!U17="Red",1,0)+IF(Input!V17="Red",1,0)+IF(Input!W17="Red",1,0)+IF(Input!X17="Red",1,0)+IF(Input!Y17="Red",1,0))*Input!R17</f>
        <v>0</v>
      </c>
      <c r="L11">
        <f>(IF(Input!L17="Blue",1,0)+IF(Input!M17="Blue",1,0)+IF(Input!N17="Blue",1,0)+IF(Input!O17="Blue",1,0)+IF(Input!P17="Blue",1,0))*Input!I17+(IF(Input!U17="Blue",1,0)+IF(Input!V17="Blue",1,0)+IF(Input!W17="Blue",1,0)+IF(Input!X17="Blue",1,0)+IF(Input!Y17="Blue",1,0))*Input!R17</f>
        <v>0</v>
      </c>
      <c r="M11">
        <f>(IF(Input!L17="White",1,0)+IF(Input!M17="White",1,0)+IF(Input!N17="White",1,0)+IF(Input!O17="White",1,0)+IF(Input!P17="White",1,0))*Input!I17+(IF(Input!U17="White",1,0)+IF(Input!V17="White",1,0)+IF(Input!W17="White",1,0)+IF(Input!X17="White",1,0)+IF(Input!Y17="White",1,0))*Input!R17</f>
        <v>0</v>
      </c>
      <c r="N11">
        <f>(IF(Input!L17="Black",1,0)+IF(Input!M17="Black",1,0)+IF(Input!N17="Black",1,0)+IF(Input!O17="Black",1,0)+IF(Input!P17="Black",1,0))*Input!I17+(IF(Input!U17="Black",1,0)+IF(Input!V17="Black",1,0)+IF(Input!W17="Black",1,0)+IF(Input!X17="Black",1,0)+IF(Input!Y17="Black",1,0))*Input!R17</f>
        <v>0</v>
      </c>
      <c r="O11">
        <f>(IF(Input!L17="Colorless",1,0)+IF(Input!M17="Colorless",1,0)+IF(Input!N17="Colorless",1,0)+IF(Input!O17="Colorless",1,0)+IF(Input!P17="Colorless",1,0))*Input!I17+(IF(Input!U17="Colorless",1,0)+IF(Input!V17="Colorless",1,0)+IF(Input!W17="Colorless",1,0)+IF(Input!X17="Colorless",1,0)+IF(Input!Y17="Colorless",1,0))*Input!R17</f>
        <v>0</v>
      </c>
      <c r="Q11">
        <f>(IF(Input!Q17="Sorcery",1,0))*Input!I17+(IF(Input!Z17="Sorcery",1,0))*Input!R17</f>
        <v>0</v>
      </c>
      <c r="R11">
        <f>(IF(Input!Q17="Instant",1,0))*Input!I17+(IF(Input!Z17="Instant",1,0))*Input!R17</f>
        <v>0</v>
      </c>
      <c r="S11">
        <f>(IF(Input!Q17="Artifact",1,0))*Input!I17+(IF(Input!Z17="Artifact",1,0))*Input!R17</f>
        <v>0</v>
      </c>
      <c r="T11">
        <f>(IF(Input!Q17="Enchantment",1,0))*Input!I17+(IF(Input!Z17="Enchantment",1,0))*Input!R17</f>
        <v>0</v>
      </c>
      <c r="U11">
        <f>(IF(Input!Q17="Creature",1,0))*Input!I17+(IF(Input!Z17="Creature",1,0))*Input!R17</f>
        <v>0</v>
      </c>
      <c r="V11">
        <f>(IF(Input!Q17="Planeswalker",1,0))*Input!I17+(IF(Input!Z17="Planeswalker",1,0))*Input!R17</f>
        <v>0</v>
      </c>
      <c r="AF11">
        <f>IF(Input!K17=0,1,0)*Input!I17+IF(Input!T17=0,1,0)*Input!R17</f>
        <v>0</v>
      </c>
      <c r="AG11">
        <f>IF(Input!K17=1,1,0)*Input!I17+IF(Input!T17=1,1,0)*Input!R17</f>
        <v>0</v>
      </c>
      <c r="AH11">
        <f>IF(Input!K17=2,1,0)*Input!I17+IF(Input!T17=2,1,0)*Input!R17</f>
        <v>0</v>
      </c>
      <c r="AI11">
        <f>IF(Input!K17=3,1,0)*Input!I18+IF(Input!T17=3,1,0)*Input!R17</f>
        <v>0</v>
      </c>
      <c r="AJ11">
        <f>IF(Input!K17=4,1,0)*Input!I17+IF(Input!T17=4,1,0)*Input!R17</f>
        <v>0</v>
      </c>
      <c r="AK11">
        <f>IF(Input!K17=5,1,0)*Input!I17+IF(Input!T17=5,1,0)*Input!R17</f>
        <v>0</v>
      </c>
      <c r="AL11">
        <f>IF(Input!K17=6,1,0)*Input!I17+IF(Input!T17=6,1,0)*Input!R17</f>
        <v>0</v>
      </c>
      <c r="AM11">
        <f>IF(Input!K17=7,1,0)*Input!I17+IF(Input!T17=7,1,0)*Input!R17</f>
        <v>0</v>
      </c>
      <c r="AN11">
        <f>IF(Input!K17=8,1,0)*Input!I17+IF(Input!T17=8,1,0)*Input!R17</f>
        <v>0</v>
      </c>
      <c r="AO11">
        <f>IF(Input!K17=9,1,0)*Input!I17+IF(Input!T17=9,1,0)*Input!R17</f>
        <v>0</v>
      </c>
      <c r="AP11">
        <f>IF(Input!K17=10,1,0)*Input!I17+IF(Input!T17=10,1,0)*Input!R17</f>
        <v>0</v>
      </c>
      <c r="AQ11">
        <f>IF(Input!K17=11,1,0)*Input!I17+IF(Input!T17=11,1,0)*Input!R17</f>
        <v>0</v>
      </c>
      <c r="AR11">
        <f>IF(Input!K17=12,1,0)*Input!I17+IF(Input!T17=12,1,0)*Input!R17</f>
        <v>0</v>
      </c>
      <c r="AS11">
        <f>IF(Input!K17=13,1,0)*Input!I17+IF(Input!T17=13,1,0)*Input!R17</f>
        <v>0</v>
      </c>
      <c r="AT11">
        <f>IF(Input!K17=14,1,0)*Input!I17+IF(Input!T17=14,1,0)*Input!R17</f>
        <v>0</v>
      </c>
      <c r="AU11">
        <f>IF(Input!K17=15,1,0)*Input!I17+IF(Input!T17=15,1,0)*Input!R17</f>
        <v>0</v>
      </c>
      <c r="AV11">
        <f>IF(Input!K17=16,1,0)*Input!I17+IF(Input!T17=16,1,0)*Input!R17</f>
        <v>0</v>
      </c>
    </row>
    <row r="12" spans="1:48" x14ac:dyDescent="0.25">
      <c r="B12">
        <f>(IF(Input!C18="Green",1,0)+IF(Input!D18="Green",1,0)+IF(Input!E18="Green",1,0)+IF(Input!F18="Green",1,0)+IF(Input!G18="Green",1,0)+IF(Input!H18="Green",1,0))*Input!A18</f>
        <v>0</v>
      </c>
      <c r="C12">
        <f>(IF(Input!C18="Red",1,0)+IF(Input!D18="Red",1,0)+IF(Input!E18="Red",1,0)+IF(Input!F18="Red",1,0)+IF(Input!G18="Red",1,0)+IF(Input!H18="Red",1,0))*Input!A18</f>
        <v>0</v>
      </c>
      <c r="D12">
        <f>(IF(Input!C18="Blue",1,0)+IF(Input!D18="Blue",1,0)+IF(Input!E18="Blue",1,0)+IF(Input!F18="Blue",1,0)+IF(Input!G18="Blue",1,0)+IF(Input!H18="Blue",1,0))*Input!A18</f>
        <v>0</v>
      </c>
      <c r="E12">
        <f>(IF(Input!C18="White",1,0)+IF(Input!D18="White",1,0)+IF(Input!E18="White",1,0)+IF(Input!F18="White",1,0)+IF(Input!G18="White",1,0)+IF(Input!H18="White",1,0))*Input!A18</f>
        <v>0</v>
      </c>
      <c r="F12">
        <f>(IF(Input!C18="Black",1,0)+IF(Input!D18="Black",1,0)+IF(Input!E18="Black",1,0)+IF(Input!F18="Black",1,0)+IF(Input!G18="Black",1,0)+IF(Input!H18="Black",1,0))*Input!A18</f>
        <v>0</v>
      </c>
      <c r="G12">
        <f>(IF(Input!C18="Colorless",1,0)+IF(Input!D18="Colorless",1,0)+IF(Input!E18="Colorless",1,0)+IF(Input!F18="Colorless",1,0)+IF(Input!G18="Colorless",1,0)+IF(Input!H18="Colorless",1,0))*Input!A18</f>
        <v>0</v>
      </c>
      <c r="J12">
        <f>(IF(Input!L18="Green",1,0)+IF(Input!M18="Green",1,0)+IF(Input!N18="Green",1,0)+IF(Input!O18="Green",1,0)+IF(Input!P18="Green",1,0))*Input!I18+(IF(Input!U18="Green",1,0)+IF(Input!V18="Green",1,0)+IF(Input!W18="Green",1,0)+IF(Input!X18="Green",1,0)+IF(Input!Y18="Green",1,0))*Input!R18</f>
        <v>0</v>
      </c>
      <c r="K12">
        <f>(IF(Input!L18="Red",1,0)+IF(Input!M18="Red",1,0)+IF(Input!N18="Red",1,0)+IF(Input!O18="Red",1,0)+IF(Input!P18="Red",1,0))*Input!I18+(IF(Input!U18="Red",1,0)+IF(Input!V18="Red",1,0)+IF(Input!W18="Red",1,0)+IF(Input!X18="Red",1,0)+IF(Input!Y18="Red",1,0))*Input!R18</f>
        <v>0</v>
      </c>
      <c r="L12">
        <f>(IF(Input!L18="Blue",1,0)+IF(Input!M18="Blue",1,0)+IF(Input!N18="Blue",1,0)+IF(Input!O18="Blue",1,0)+IF(Input!P18="Blue",1,0))*Input!I18+(IF(Input!U18="Blue",1,0)+IF(Input!V18="Blue",1,0)+IF(Input!W18="Blue",1,0)+IF(Input!X18="Blue",1,0)+IF(Input!Y18="Blue",1,0))*Input!R18</f>
        <v>0</v>
      </c>
      <c r="M12">
        <f>(IF(Input!L18="White",1,0)+IF(Input!M18="White",1,0)+IF(Input!N18="White",1,0)+IF(Input!O18="White",1,0)+IF(Input!P18="White",1,0))*Input!I18+(IF(Input!U18="White",1,0)+IF(Input!V18="White",1,0)+IF(Input!W18="White",1,0)+IF(Input!X18="White",1,0)+IF(Input!Y18="White",1,0))*Input!R18</f>
        <v>0</v>
      </c>
      <c r="N12">
        <f>(IF(Input!L18="Black",1,0)+IF(Input!M18="Black",1,0)+IF(Input!N18="Black",1,0)+IF(Input!O18="Black",1,0)+IF(Input!P18="Black",1,0))*Input!I18+(IF(Input!U18="Black",1,0)+IF(Input!V18="Black",1,0)+IF(Input!W18="Black",1,0)+IF(Input!X18="Black",1,0)+IF(Input!Y18="Black",1,0))*Input!R18</f>
        <v>0</v>
      </c>
      <c r="O12">
        <f>(IF(Input!L18="Colorless",1,0)+IF(Input!M18="Colorless",1,0)+IF(Input!N18="Colorless",1,0)+IF(Input!O18="Colorless",1,0)+IF(Input!P18="Colorless",1,0))*Input!I18+(IF(Input!U18="Colorless",1,0)+IF(Input!V18="Colorless",1,0)+IF(Input!W18="Colorless",1,0)+IF(Input!X18="Colorless",1,0)+IF(Input!Y18="Colorless",1,0))*Input!R18</f>
        <v>0</v>
      </c>
      <c r="Q12">
        <f>(IF(Input!Q18="Sorcery",1,0))*Input!I18+(IF(Input!Z18="Sorcery",1,0))*Input!R18</f>
        <v>0</v>
      </c>
      <c r="R12">
        <f>(IF(Input!Q18="Instant",1,0))*Input!I18+(IF(Input!Z18="Instant",1,0))*Input!R18</f>
        <v>0</v>
      </c>
      <c r="S12">
        <f>(IF(Input!Q18="Artifact",1,0))*Input!I18+(IF(Input!Z18="Artifact",1,0))*Input!R18</f>
        <v>0</v>
      </c>
      <c r="T12">
        <f>(IF(Input!Q18="Enchantment",1,0))*Input!I18+(IF(Input!Z18="Enchantment",1,0))*Input!R18</f>
        <v>0</v>
      </c>
      <c r="U12">
        <f>(IF(Input!Q18="Creature",1,0))*Input!I18+(IF(Input!Z18="Creature",1,0))*Input!R18</f>
        <v>0</v>
      </c>
      <c r="V12">
        <f>(IF(Input!Q18="Planeswalker",1,0))*Input!I18+(IF(Input!Z18="Planeswalker",1,0))*Input!R18</f>
        <v>0</v>
      </c>
      <c r="AF12">
        <f>IF(Input!K18=0,1,0)*Input!I18+IF(Input!T18=0,1,0)*Input!R18</f>
        <v>0</v>
      </c>
      <c r="AG12">
        <f>IF(Input!K18=1,1,0)*Input!I18+IF(Input!T18=1,1,0)*Input!R18</f>
        <v>0</v>
      </c>
      <c r="AH12">
        <f>IF(Input!K18=2,1,0)*Input!I18+IF(Input!T18=2,1,0)*Input!R18</f>
        <v>0</v>
      </c>
      <c r="AI12">
        <f>IF(Input!K18=3,1,0)*Input!I19+IF(Input!T18=3,1,0)*Input!R18</f>
        <v>0</v>
      </c>
      <c r="AJ12">
        <f>IF(Input!K18=4,1,0)*Input!I18+IF(Input!T18=4,1,0)*Input!R18</f>
        <v>0</v>
      </c>
      <c r="AK12">
        <f>IF(Input!K18=5,1,0)*Input!I18+IF(Input!T18=5,1,0)*Input!R18</f>
        <v>0</v>
      </c>
      <c r="AL12">
        <f>IF(Input!K18=6,1,0)*Input!I18+IF(Input!T18=6,1,0)*Input!R18</f>
        <v>0</v>
      </c>
      <c r="AM12">
        <f>IF(Input!K18=7,1,0)*Input!I18+IF(Input!T18=7,1,0)*Input!R18</f>
        <v>0</v>
      </c>
      <c r="AN12">
        <f>IF(Input!K18=8,1,0)*Input!I18+IF(Input!T18=8,1,0)*Input!R18</f>
        <v>0</v>
      </c>
      <c r="AO12">
        <f>IF(Input!K18=9,1,0)*Input!I18+IF(Input!T18=9,1,0)*Input!R18</f>
        <v>0</v>
      </c>
      <c r="AP12">
        <f>IF(Input!K18=10,1,0)*Input!I18+IF(Input!T18=10,1,0)*Input!R18</f>
        <v>0</v>
      </c>
      <c r="AQ12">
        <f>IF(Input!K18=11,1,0)*Input!I18+IF(Input!T18=11,1,0)*Input!R18</f>
        <v>0</v>
      </c>
      <c r="AR12">
        <f>IF(Input!K18=12,1,0)*Input!I18+IF(Input!T18=12,1,0)*Input!R18</f>
        <v>0</v>
      </c>
      <c r="AS12">
        <f>IF(Input!K18=13,1,0)*Input!I18+IF(Input!T18=13,1,0)*Input!R18</f>
        <v>0</v>
      </c>
      <c r="AT12">
        <f>IF(Input!K18=14,1,0)*Input!I18+IF(Input!T18=14,1,0)*Input!R18</f>
        <v>0</v>
      </c>
      <c r="AU12">
        <f>IF(Input!K18=15,1,0)*Input!I18+IF(Input!T18=15,1,0)*Input!R18</f>
        <v>0</v>
      </c>
      <c r="AV12">
        <f>IF(Input!K18=16,1,0)*Input!I18+IF(Input!T18=16,1,0)*Input!R18</f>
        <v>0</v>
      </c>
    </row>
    <row r="13" spans="1:48" x14ac:dyDescent="0.25">
      <c r="B13">
        <f>(IF(Input!C19="Green",1,0)+IF(Input!D19="Green",1,0)+IF(Input!E19="Green",1,0)+IF(Input!F19="Green",1,0)+IF(Input!G19="Green",1,0)+IF(Input!H19="Green",1,0))*Input!A19</f>
        <v>0</v>
      </c>
      <c r="C13">
        <f>(IF(Input!C19="Red",1,0)+IF(Input!D19="Red",1,0)+IF(Input!E19="Red",1,0)+IF(Input!F19="Red",1,0)+IF(Input!G19="Red",1,0)+IF(Input!H19="Red",1,0))*Input!A19</f>
        <v>0</v>
      </c>
      <c r="D13">
        <f>(IF(Input!C19="Blue",1,0)+IF(Input!D19="Blue",1,0)+IF(Input!E19="Blue",1,0)+IF(Input!F19="Blue",1,0)+IF(Input!G19="Blue",1,0)+IF(Input!H19="Blue",1,0))*Input!A19</f>
        <v>0</v>
      </c>
      <c r="E13">
        <f>(IF(Input!C19="White",1,0)+IF(Input!D19="White",1,0)+IF(Input!E19="White",1,0)+IF(Input!F19="White",1,0)+IF(Input!G19="White",1,0)+IF(Input!H19="White",1,0))*Input!A19</f>
        <v>0</v>
      </c>
      <c r="F13">
        <f>(IF(Input!C19="Black",1,0)+IF(Input!D19="Black",1,0)+IF(Input!E19="Black",1,0)+IF(Input!F19="Black",1,0)+IF(Input!G19="Black",1,0)+IF(Input!H19="Black",1,0))*Input!A19</f>
        <v>0</v>
      </c>
      <c r="G13">
        <f>(IF(Input!C19="Colorless",1,0)+IF(Input!D19="Colorless",1,0)+IF(Input!E19="Colorless",1,0)+IF(Input!F19="Colorless",1,0)+IF(Input!G19="Colorless",1,0)+IF(Input!H19="Colorless",1,0))*Input!A19</f>
        <v>0</v>
      </c>
      <c r="J13">
        <f>(IF(Input!L19="Green",1,0)+IF(Input!M19="Green",1,0)+IF(Input!N19="Green",1,0)+IF(Input!O19="Green",1,0)+IF(Input!P19="Green",1,0))*Input!I19+(IF(Input!U19="Green",1,0)+IF(Input!V19="Green",1,0)+IF(Input!W19="Green",1,0)+IF(Input!X19="Green",1,0)+IF(Input!Y19="Green",1,0))*Input!R19</f>
        <v>0</v>
      </c>
      <c r="K13">
        <f>(IF(Input!L19="Red",1,0)+IF(Input!M19="Red",1,0)+IF(Input!N19="Red",1,0)+IF(Input!O19="Red",1,0)+IF(Input!P19="Red",1,0))*Input!I19+(IF(Input!U19="Red",1,0)+IF(Input!V19="Red",1,0)+IF(Input!W19="Red",1,0)+IF(Input!X19="Red",1,0)+IF(Input!Y19="Red",1,0))*Input!R19</f>
        <v>0</v>
      </c>
      <c r="L13">
        <f>(IF(Input!L19="Blue",1,0)+IF(Input!M19="Blue",1,0)+IF(Input!N19="Blue",1,0)+IF(Input!O19="Blue",1,0)+IF(Input!P19="Blue",1,0))*Input!I19+(IF(Input!U19="Blue",1,0)+IF(Input!V19="Blue",1,0)+IF(Input!W19="Blue",1,0)+IF(Input!X19="Blue",1,0)+IF(Input!Y19="Blue",1,0))*Input!R19</f>
        <v>0</v>
      </c>
      <c r="M13">
        <f>(IF(Input!L19="White",1,0)+IF(Input!M19="White",1,0)+IF(Input!N19="White",1,0)+IF(Input!O19="White",1,0)+IF(Input!P19="White",1,0))*Input!I19+(IF(Input!U19="White",1,0)+IF(Input!V19="White",1,0)+IF(Input!W19="White",1,0)+IF(Input!X19="White",1,0)+IF(Input!Y19="White",1,0))*Input!R19</f>
        <v>0</v>
      </c>
      <c r="N13">
        <f>(IF(Input!L19="Black",1,0)+IF(Input!M19="Black",1,0)+IF(Input!N19="Black",1,0)+IF(Input!O19="Black",1,0)+IF(Input!P19="Black",1,0))*Input!I19+(IF(Input!U19="Black",1,0)+IF(Input!V19="Black",1,0)+IF(Input!W19="Black",1,0)+IF(Input!X19="Black",1,0)+IF(Input!Y19="Black",1,0))*Input!R19</f>
        <v>0</v>
      </c>
      <c r="O13">
        <f>(IF(Input!L19="Colorless",1,0)+IF(Input!M19="Colorless",1,0)+IF(Input!N19="Colorless",1,0)+IF(Input!O19="Colorless",1,0)+IF(Input!P19="Colorless",1,0))*Input!I19+(IF(Input!U19="Colorless",1,0)+IF(Input!V19="Colorless",1,0)+IF(Input!W19="Colorless",1,0)+IF(Input!X19="Colorless",1,0)+IF(Input!Y19="Colorless",1,0))*Input!R19</f>
        <v>0</v>
      </c>
      <c r="Q13">
        <f>(IF(Input!Q19="Sorcery",1,0))*Input!I19+(IF(Input!Z19="Sorcery",1,0))*Input!R19</f>
        <v>0</v>
      </c>
      <c r="R13">
        <f>(IF(Input!Q19="Instant",1,0))*Input!I19+(IF(Input!Z19="Instant",1,0))*Input!R19</f>
        <v>0</v>
      </c>
      <c r="S13">
        <f>(IF(Input!Q19="Artifact",1,0))*Input!I19+(IF(Input!Z19="Artifact",1,0))*Input!R19</f>
        <v>0</v>
      </c>
      <c r="T13">
        <f>(IF(Input!Q19="Enchantment",1,0))*Input!I19+(IF(Input!Z19="Enchantment",1,0))*Input!R19</f>
        <v>0</v>
      </c>
      <c r="U13">
        <f>(IF(Input!Q19="Creature",1,0))*Input!I19+(IF(Input!Z19="Creature",1,0))*Input!R19</f>
        <v>0</v>
      </c>
      <c r="V13">
        <f>(IF(Input!Q19="Planeswalker",1,0))*Input!I19+(IF(Input!Z19="Planeswalker",1,0))*Input!R19</f>
        <v>0</v>
      </c>
      <c r="AF13">
        <f>IF(Input!K19=0,1,0)*Input!I19+IF(Input!T19=0,1,0)*Input!R19</f>
        <v>0</v>
      </c>
      <c r="AG13">
        <f>IF(Input!K19=1,1,0)*Input!I19+IF(Input!T19=1,1,0)*Input!R19</f>
        <v>0</v>
      </c>
      <c r="AH13">
        <f>IF(Input!K19=2,1,0)*Input!I19+IF(Input!T19=2,1,0)*Input!R19</f>
        <v>0</v>
      </c>
      <c r="AI13">
        <f>IF(Input!K19=3,1,0)*Input!I20+IF(Input!T19=3,1,0)*Input!R19</f>
        <v>0</v>
      </c>
      <c r="AJ13">
        <f>IF(Input!K19=4,1,0)*Input!I19+IF(Input!T19=4,1,0)*Input!R19</f>
        <v>0</v>
      </c>
      <c r="AK13">
        <f>IF(Input!K19=5,1,0)*Input!I19+IF(Input!T19=5,1,0)*Input!R19</f>
        <v>0</v>
      </c>
      <c r="AL13">
        <f>IF(Input!K19=6,1,0)*Input!I19+IF(Input!T19=6,1,0)*Input!R19</f>
        <v>0</v>
      </c>
      <c r="AM13">
        <f>IF(Input!K19=7,1,0)*Input!I19+IF(Input!T19=7,1,0)*Input!R19</f>
        <v>0</v>
      </c>
      <c r="AN13">
        <f>IF(Input!K19=8,1,0)*Input!I19+IF(Input!T19=8,1,0)*Input!R19</f>
        <v>0</v>
      </c>
      <c r="AO13">
        <f>IF(Input!K19=9,1,0)*Input!I19+IF(Input!T19=9,1,0)*Input!R19</f>
        <v>0</v>
      </c>
      <c r="AP13">
        <f>IF(Input!K19=10,1,0)*Input!I19+IF(Input!T19=10,1,0)*Input!R19</f>
        <v>0</v>
      </c>
      <c r="AQ13">
        <f>IF(Input!K19=11,1,0)*Input!I19+IF(Input!T19=11,1,0)*Input!R19</f>
        <v>0</v>
      </c>
      <c r="AR13">
        <f>IF(Input!K19=12,1,0)*Input!I19+IF(Input!T19=12,1,0)*Input!R19</f>
        <v>0</v>
      </c>
      <c r="AS13">
        <f>IF(Input!K19=13,1,0)*Input!I19+IF(Input!T19=13,1,0)*Input!R19</f>
        <v>0</v>
      </c>
      <c r="AT13">
        <f>IF(Input!K19=14,1,0)*Input!I19+IF(Input!T19=14,1,0)*Input!R19</f>
        <v>0</v>
      </c>
      <c r="AU13">
        <f>IF(Input!K19=15,1,0)*Input!I19+IF(Input!T19=15,1,0)*Input!R19</f>
        <v>0</v>
      </c>
      <c r="AV13">
        <f>IF(Input!K19=16,1,0)*Input!I19+IF(Input!T19=16,1,0)*Input!R19</f>
        <v>0</v>
      </c>
    </row>
    <row r="14" spans="1:48" x14ac:dyDescent="0.25">
      <c r="B14">
        <f>(IF(Input!C20="Green",1,0)+IF(Input!D20="Green",1,0)+IF(Input!E20="Green",1,0)+IF(Input!F20="Green",1,0)+IF(Input!G20="Green",1,0)+IF(Input!H20="Green",1,0))*Input!A20</f>
        <v>0</v>
      </c>
      <c r="C14">
        <f>(IF(Input!C20="Red",1,0)+IF(Input!D20="Red",1,0)+IF(Input!E20="Red",1,0)+IF(Input!F20="Red",1,0)+IF(Input!G20="Red",1,0)+IF(Input!H20="Red",1,0))*Input!A20</f>
        <v>0</v>
      </c>
      <c r="D14">
        <f>(IF(Input!C20="Blue",1,0)+IF(Input!D20="Blue",1,0)+IF(Input!E20="Blue",1,0)+IF(Input!F20="Blue",1,0)+IF(Input!G20="Blue",1,0)+IF(Input!H20="Blue",1,0))*Input!A20</f>
        <v>0</v>
      </c>
      <c r="E14">
        <f>(IF(Input!C20="White",1,0)+IF(Input!D20="White",1,0)+IF(Input!E20="White",1,0)+IF(Input!F20="White",1,0)+IF(Input!G20="White",1,0)+IF(Input!H20="White",1,0))*Input!A20</f>
        <v>0</v>
      </c>
      <c r="F14">
        <f>(IF(Input!C20="Black",1,0)+IF(Input!D20="Black",1,0)+IF(Input!E20="Black",1,0)+IF(Input!F20="Black",1,0)+IF(Input!G20="Black",1,0)+IF(Input!H20="Black",1,0))*Input!A20</f>
        <v>0</v>
      </c>
      <c r="G14">
        <f>(IF(Input!C20="Colorless",1,0)+IF(Input!D20="Colorless",1,0)+IF(Input!E20="Colorless",1,0)+IF(Input!F20="Colorless",1,0)+IF(Input!G20="Colorless",1,0)+IF(Input!H20="Colorless",1,0))*Input!A20</f>
        <v>0</v>
      </c>
      <c r="J14">
        <f>(IF(Input!L20="Green",1,0)+IF(Input!M20="Green",1,0)+IF(Input!N20="Green",1,0)+IF(Input!O20="Green",1,0)+IF(Input!P20="Green",1,0))*Input!I20+(IF(Input!U20="Green",1,0)+IF(Input!V20="Green",1,0)+IF(Input!W20="Green",1,0)+IF(Input!X20="Green",1,0)+IF(Input!Y20="Green",1,0))*Input!R20</f>
        <v>0</v>
      </c>
      <c r="K14">
        <f>(IF(Input!L20="Red",1,0)+IF(Input!M20="Red",1,0)+IF(Input!N20="Red",1,0)+IF(Input!O20="Red",1,0)+IF(Input!P20="Red",1,0))*Input!I20+(IF(Input!U20="Red",1,0)+IF(Input!V20="Red",1,0)+IF(Input!W20="Red",1,0)+IF(Input!X20="Red",1,0)+IF(Input!Y20="Red",1,0))*Input!R20</f>
        <v>0</v>
      </c>
      <c r="L14">
        <f>(IF(Input!L20="Blue",1,0)+IF(Input!M20="Blue",1,0)+IF(Input!N20="Blue",1,0)+IF(Input!O20="Blue",1,0)+IF(Input!P20="Blue",1,0))*Input!I20+(IF(Input!U20="Blue",1,0)+IF(Input!V20="Blue",1,0)+IF(Input!W20="Blue",1,0)+IF(Input!X20="Blue",1,0)+IF(Input!Y20="Blue",1,0))*Input!R20</f>
        <v>0</v>
      </c>
      <c r="M14">
        <f>(IF(Input!L20="White",1,0)+IF(Input!M20="White",1,0)+IF(Input!N20="White",1,0)+IF(Input!O20="White",1,0)+IF(Input!P20="White",1,0))*Input!I20+(IF(Input!U20="White",1,0)+IF(Input!V20="White",1,0)+IF(Input!W20="White",1,0)+IF(Input!X20="White",1,0)+IF(Input!Y20="White",1,0))*Input!R20</f>
        <v>0</v>
      </c>
      <c r="N14">
        <f>(IF(Input!L20="Black",1,0)+IF(Input!M20="Black",1,0)+IF(Input!N20="Black",1,0)+IF(Input!O20="Black",1,0)+IF(Input!P20="Black",1,0))*Input!I20+(IF(Input!U20="Black",1,0)+IF(Input!V20="Black",1,0)+IF(Input!W20="Black",1,0)+IF(Input!X20="Black",1,0)+IF(Input!Y20="Black",1,0))*Input!R20</f>
        <v>0</v>
      </c>
      <c r="O14">
        <f>(IF(Input!L20="Colorless",1,0)+IF(Input!M20="Colorless",1,0)+IF(Input!N20="Colorless",1,0)+IF(Input!O20="Colorless",1,0)+IF(Input!P20="Colorless",1,0))*Input!I20+(IF(Input!U20="Colorless",1,0)+IF(Input!V20="Colorless",1,0)+IF(Input!W20="Colorless",1,0)+IF(Input!X20="Colorless",1,0)+IF(Input!Y20="Colorless",1,0))*Input!R20</f>
        <v>0</v>
      </c>
      <c r="Q14">
        <f>(IF(Input!Q20="Sorcery",1,0))*Input!I20+(IF(Input!Z20="Sorcery",1,0))*Input!R20</f>
        <v>0</v>
      </c>
      <c r="R14">
        <f>(IF(Input!Q20="Instant",1,0))*Input!I20+(IF(Input!Z20="Instant",1,0))*Input!R20</f>
        <v>0</v>
      </c>
      <c r="S14">
        <f>(IF(Input!Q20="Artifact",1,0))*Input!I20+(IF(Input!Z20="Artifact",1,0))*Input!R20</f>
        <v>0</v>
      </c>
      <c r="T14">
        <f>(IF(Input!Q20="Enchantment",1,0))*Input!I20+(IF(Input!Z20="Enchantment",1,0))*Input!R20</f>
        <v>0</v>
      </c>
      <c r="U14">
        <f>(IF(Input!Q20="Creature",1,0))*Input!I20+(IF(Input!Z20="Creature",1,0))*Input!R20</f>
        <v>0</v>
      </c>
      <c r="V14">
        <f>(IF(Input!Q20="Planeswalker",1,0))*Input!I20+(IF(Input!Z20="Planeswalker",1,0))*Input!R20</f>
        <v>0</v>
      </c>
      <c r="AF14">
        <f>IF(Input!K20=0,1,0)*Input!I20+IF(Input!T20=0,1,0)*Input!R20</f>
        <v>0</v>
      </c>
      <c r="AG14">
        <f>IF(Input!K20=1,1,0)*Input!I20+IF(Input!T20=1,1,0)*Input!R20</f>
        <v>0</v>
      </c>
      <c r="AH14">
        <f>IF(Input!K20=2,1,0)*Input!I20+IF(Input!T20=2,1,0)*Input!R20</f>
        <v>0</v>
      </c>
      <c r="AI14">
        <f>IF(Input!K20=3,1,0)*Input!I21+IF(Input!T20=3,1,0)*Input!R20</f>
        <v>0</v>
      </c>
      <c r="AJ14">
        <f>IF(Input!K20=4,1,0)*Input!I20+IF(Input!T20=4,1,0)*Input!R20</f>
        <v>0</v>
      </c>
      <c r="AK14">
        <f>IF(Input!K20=5,1,0)*Input!I20+IF(Input!T20=5,1,0)*Input!R20</f>
        <v>0</v>
      </c>
      <c r="AL14">
        <f>IF(Input!K20=6,1,0)*Input!I20+IF(Input!T20=6,1,0)*Input!R20</f>
        <v>0</v>
      </c>
      <c r="AM14">
        <f>IF(Input!K20=7,1,0)*Input!I20+IF(Input!T20=7,1,0)*Input!R20</f>
        <v>0</v>
      </c>
      <c r="AN14">
        <f>IF(Input!K20=8,1,0)*Input!I20+IF(Input!T20=8,1,0)*Input!R20</f>
        <v>0</v>
      </c>
      <c r="AO14">
        <f>IF(Input!K20=9,1,0)*Input!I20+IF(Input!T20=9,1,0)*Input!R20</f>
        <v>0</v>
      </c>
      <c r="AP14">
        <f>IF(Input!K20=10,1,0)*Input!I20+IF(Input!T20=10,1,0)*Input!R20</f>
        <v>0</v>
      </c>
      <c r="AQ14">
        <f>IF(Input!K20=11,1,0)*Input!I20+IF(Input!T20=11,1,0)*Input!R20</f>
        <v>0</v>
      </c>
      <c r="AR14">
        <f>IF(Input!K20=12,1,0)*Input!I20+IF(Input!T20=12,1,0)*Input!R20</f>
        <v>0</v>
      </c>
      <c r="AS14">
        <f>IF(Input!K20=13,1,0)*Input!I20+IF(Input!T20=13,1,0)*Input!R20</f>
        <v>0</v>
      </c>
      <c r="AT14">
        <f>IF(Input!K20=14,1,0)*Input!I20+IF(Input!T20=14,1,0)*Input!R20</f>
        <v>0</v>
      </c>
      <c r="AU14">
        <f>IF(Input!K20=15,1,0)*Input!I20+IF(Input!T20=15,1,0)*Input!R20</f>
        <v>0</v>
      </c>
      <c r="AV14">
        <f>IF(Input!K20=16,1,0)*Input!I20+IF(Input!T20=16,1,0)*Input!R20</f>
        <v>0</v>
      </c>
    </row>
    <row r="15" spans="1:48" x14ac:dyDescent="0.25">
      <c r="B15">
        <f>(IF(Input!C21="Green",1,0)+IF(Input!D21="Green",1,0)+IF(Input!E21="Green",1,0)+IF(Input!F21="Green",1,0)+IF(Input!G21="Green",1,0)+IF(Input!H21="Green",1,0))*Input!A21</f>
        <v>0</v>
      </c>
      <c r="C15">
        <f>(IF(Input!C21="Red",1,0)+IF(Input!D21="Red",1,0)+IF(Input!E21="Red",1,0)+IF(Input!F21="Red",1,0)+IF(Input!G21="Red",1,0)+IF(Input!H21="Red",1,0))*Input!A21</f>
        <v>0</v>
      </c>
      <c r="D15">
        <f>(IF(Input!C21="Blue",1,0)+IF(Input!D21="Blue",1,0)+IF(Input!E21="Blue",1,0)+IF(Input!F21="Blue",1,0)+IF(Input!G21="Blue",1,0)+IF(Input!H21="Blue",1,0))*Input!A21</f>
        <v>0</v>
      </c>
      <c r="E15">
        <f>(IF(Input!C21="White",1,0)+IF(Input!D21="White",1,0)+IF(Input!E21="White",1,0)+IF(Input!F21="White",1,0)+IF(Input!G21="White",1,0)+IF(Input!H21="White",1,0))*Input!A21</f>
        <v>0</v>
      </c>
      <c r="F15">
        <f>(IF(Input!C21="Black",1,0)+IF(Input!D21="Black",1,0)+IF(Input!E21="Black",1,0)+IF(Input!F21="Black",1,0)+IF(Input!G21="Black",1,0)+IF(Input!H21="Black",1,0))*Input!A21</f>
        <v>0</v>
      </c>
      <c r="G15">
        <f>(IF(Input!C21="Colorless",1,0)+IF(Input!D21="Colorless",1,0)+IF(Input!E21="Colorless",1,0)+IF(Input!F21="Colorless",1,0)+IF(Input!G21="Colorless",1,0)+IF(Input!H21="Colorless",1,0))*Input!A21</f>
        <v>0</v>
      </c>
      <c r="J15">
        <f>(IF(Input!L21="Green",1,0)+IF(Input!M21="Green",1,0)+IF(Input!N21="Green",1,0)+IF(Input!O21="Green",1,0)+IF(Input!P21="Green",1,0))*Input!I21+(IF(Input!U21="Green",1,0)+IF(Input!V21="Green",1,0)+IF(Input!W21="Green",1,0)+IF(Input!X21="Green",1,0)+IF(Input!Y21="Green",1,0))*Input!R21</f>
        <v>0</v>
      </c>
      <c r="K15">
        <f>(IF(Input!L21="Red",1,0)+IF(Input!M21="Red",1,0)+IF(Input!N21="Red",1,0)+IF(Input!O21="Red",1,0)+IF(Input!P21="Red",1,0))*Input!I21+(IF(Input!U21="Red",1,0)+IF(Input!V21="Red",1,0)+IF(Input!W21="Red",1,0)+IF(Input!X21="Red",1,0)+IF(Input!Y21="Red",1,0))*Input!R21</f>
        <v>0</v>
      </c>
      <c r="L15">
        <f>(IF(Input!L21="Blue",1,0)+IF(Input!M21="Blue",1,0)+IF(Input!N21="Blue",1,0)+IF(Input!O21="Blue",1,0)+IF(Input!P21="Blue",1,0))*Input!I21+(IF(Input!U21="Blue",1,0)+IF(Input!V21="Blue",1,0)+IF(Input!W21="Blue",1,0)+IF(Input!X21="Blue",1,0)+IF(Input!Y21="Blue",1,0))*Input!R21</f>
        <v>0</v>
      </c>
      <c r="M15">
        <f>(IF(Input!L21="White",1,0)+IF(Input!M21="White",1,0)+IF(Input!N21="White",1,0)+IF(Input!O21="White",1,0)+IF(Input!P21="White",1,0))*Input!I21+(IF(Input!U21="White",1,0)+IF(Input!V21="White",1,0)+IF(Input!W21="White",1,0)+IF(Input!X21="White",1,0)+IF(Input!Y21="White",1,0))*Input!R21</f>
        <v>0</v>
      </c>
      <c r="N15">
        <f>(IF(Input!L21="Black",1,0)+IF(Input!M21="Black",1,0)+IF(Input!N21="Black",1,0)+IF(Input!O21="Black",1,0)+IF(Input!P21="Black",1,0))*Input!I21+(IF(Input!U21="Black",1,0)+IF(Input!V21="Black",1,0)+IF(Input!W21="Black",1,0)+IF(Input!X21="Black",1,0)+IF(Input!Y21="Black",1,0))*Input!R21</f>
        <v>0</v>
      </c>
      <c r="O15">
        <f>(IF(Input!L21="Colorless",1,0)+IF(Input!M21="Colorless",1,0)+IF(Input!N21="Colorless",1,0)+IF(Input!O21="Colorless",1,0)+IF(Input!P21="Colorless",1,0))*Input!I21+(IF(Input!U21="Colorless",1,0)+IF(Input!V21="Colorless",1,0)+IF(Input!W21="Colorless",1,0)+IF(Input!X21="Colorless",1,0)+IF(Input!Y21="Colorless",1,0))*Input!R21</f>
        <v>0</v>
      </c>
      <c r="Q15">
        <f>(IF(Input!Q21="Sorcery",1,0))*Input!I21+(IF(Input!Z21="Sorcery",1,0))*Input!R21</f>
        <v>0</v>
      </c>
      <c r="R15">
        <f>(IF(Input!Q21="Instant",1,0))*Input!I21+(IF(Input!Z21="Instant",1,0))*Input!R21</f>
        <v>0</v>
      </c>
      <c r="S15">
        <f>(IF(Input!Q21="Artifact",1,0))*Input!I21+(IF(Input!Z21="Artifact",1,0))*Input!R21</f>
        <v>0</v>
      </c>
      <c r="T15">
        <f>(IF(Input!Q21="Enchantment",1,0))*Input!I21+(IF(Input!Z21="Enchantment",1,0))*Input!R21</f>
        <v>0</v>
      </c>
      <c r="U15">
        <f>(IF(Input!Q21="Creature",1,0))*Input!I21+(IF(Input!Z21="Creature",1,0))*Input!R21</f>
        <v>0</v>
      </c>
      <c r="V15">
        <f>(IF(Input!Q21="Planeswalker",1,0))*Input!I21+(IF(Input!Z21="Planeswalker",1,0))*Input!R21</f>
        <v>0</v>
      </c>
      <c r="AF15">
        <f>IF(Input!K21=0,1,0)*Input!I21+IF(Input!T21=0,1,0)*Input!R21</f>
        <v>0</v>
      </c>
      <c r="AG15">
        <f>IF(Input!K21=1,1,0)*Input!I21+IF(Input!T21=1,1,0)*Input!R21</f>
        <v>0</v>
      </c>
      <c r="AH15">
        <f>IF(Input!K21=2,1,0)*Input!I21+IF(Input!T21=2,1,0)*Input!R21</f>
        <v>0</v>
      </c>
      <c r="AI15">
        <f>IF(Input!K21=3,1,0)*Input!I22+IF(Input!T21=3,1,0)*Input!R21</f>
        <v>0</v>
      </c>
      <c r="AJ15">
        <f>IF(Input!K21=4,1,0)*Input!I21+IF(Input!T21=4,1,0)*Input!R21</f>
        <v>0</v>
      </c>
      <c r="AK15">
        <f>IF(Input!K21=5,1,0)*Input!I21+IF(Input!T21=5,1,0)*Input!R21</f>
        <v>0</v>
      </c>
      <c r="AL15">
        <f>IF(Input!K21=6,1,0)*Input!I21+IF(Input!T21=6,1,0)*Input!R21</f>
        <v>0</v>
      </c>
      <c r="AM15">
        <f>IF(Input!K21=7,1,0)*Input!I21+IF(Input!T21=7,1,0)*Input!R21</f>
        <v>0</v>
      </c>
      <c r="AN15">
        <f>IF(Input!K21=8,1,0)*Input!I21+IF(Input!T21=8,1,0)*Input!R21</f>
        <v>0</v>
      </c>
      <c r="AO15">
        <f>IF(Input!K21=9,1,0)*Input!I21+IF(Input!T21=9,1,0)*Input!R21</f>
        <v>0</v>
      </c>
      <c r="AP15">
        <f>IF(Input!K21=10,1,0)*Input!I21+IF(Input!T21=10,1,0)*Input!R21</f>
        <v>0</v>
      </c>
      <c r="AQ15">
        <f>IF(Input!K21=11,1,0)*Input!I21+IF(Input!T21=11,1,0)*Input!R21</f>
        <v>0</v>
      </c>
      <c r="AR15">
        <f>IF(Input!K21=12,1,0)*Input!I21+IF(Input!T21=12,1,0)*Input!R21</f>
        <v>0</v>
      </c>
      <c r="AS15">
        <f>IF(Input!K21=13,1,0)*Input!I21+IF(Input!T21=13,1,0)*Input!R21</f>
        <v>0</v>
      </c>
      <c r="AT15">
        <f>IF(Input!K21=14,1,0)*Input!I21+IF(Input!T21=14,1,0)*Input!R21</f>
        <v>0</v>
      </c>
      <c r="AU15">
        <f>IF(Input!K21=15,1,0)*Input!I21+IF(Input!T21=15,1,0)*Input!R21</f>
        <v>0</v>
      </c>
      <c r="AV15">
        <f>IF(Input!K21=16,1,0)*Input!I21+IF(Input!T21=16,1,0)*Input!R21</f>
        <v>0</v>
      </c>
    </row>
    <row r="16" spans="1:48" x14ac:dyDescent="0.25">
      <c r="B16">
        <f>(IF(Input!C22="Green",1,0)+IF(Input!D22="Green",1,0)+IF(Input!E22="Green",1,0)+IF(Input!F22="Green",1,0)+IF(Input!G22="Green",1,0)+IF(Input!H22="Green",1,0))*Input!A22</f>
        <v>0</v>
      </c>
      <c r="C16">
        <f>(IF(Input!C22="Red",1,0)+IF(Input!D22="Red",1,0)+IF(Input!E22="Red",1,0)+IF(Input!F22="Red",1,0)+IF(Input!G22="Red",1,0)+IF(Input!H22="Red",1,0))*Input!A22</f>
        <v>0</v>
      </c>
      <c r="D16">
        <f>(IF(Input!C22="Blue",1,0)+IF(Input!D22="Blue",1,0)+IF(Input!E22="Blue",1,0)+IF(Input!F22="Blue",1,0)+IF(Input!G22="Blue",1,0)+IF(Input!H22="Blue",1,0))*Input!A22</f>
        <v>0</v>
      </c>
      <c r="E16">
        <f>(IF(Input!C22="White",1,0)+IF(Input!D22="White",1,0)+IF(Input!E22="White",1,0)+IF(Input!F22="White",1,0)+IF(Input!G22="White",1,0)+IF(Input!H22="White",1,0))*Input!A22</f>
        <v>0</v>
      </c>
      <c r="F16">
        <f>(IF(Input!C22="Black",1,0)+IF(Input!D22="Black",1,0)+IF(Input!E22="Black",1,0)+IF(Input!F22="Black",1,0)+IF(Input!G22="Black",1,0)+IF(Input!H22="Black",1,0))*Input!A22</f>
        <v>0</v>
      </c>
      <c r="G16">
        <f>(IF(Input!C22="Colorless",1,0)+IF(Input!D22="Colorless",1,0)+IF(Input!E22="Colorless",1,0)+IF(Input!F22="Colorless",1,0)+IF(Input!G22="Colorless",1,0)+IF(Input!H22="Colorless",1,0))*Input!A22</f>
        <v>0</v>
      </c>
      <c r="J16">
        <f>(IF(Input!L22="Green",1,0)+IF(Input!M22="Green",1,0)+IF(Input!N22="Green",1,0)+IF(Input!O22="Green",1,0)+IF(Input!P22="Green",1,0))*Input!I22+(IF(Input!U22="Green",1,0)+IF(Input!V22="Green",1,0)+IF(Input!W22="Green",1,0)+IF(Input!X22="Green",1,0)+IF(Input!Y22="Green",1,0))*Input!R22</f>
        <v>0</v>
      </c>
      <c r="K16">
        <f>(IF(Input!L22="Red",1,0)+IF(Input!M22="Red",1,0)+IF(Input!N22="Red",1,0)+IF(Input!O22="Red",1,0)+IF(Input!P22="Red",1,0))*Input!I22+(IF(Input!U22="Red",1,0)+IF(Input!V22="Red",1,0)+IF(Input!W22="Red",1,0)+IF(Input!X22="Red",1,0)+IF(Input!Y22="Red",1,0))*Input!R22</f>
        <v>0</v>
      </c>
      <c r="L16">
        <f>(IF(Input!L22="Blue",1,0)+IF(Input!M22="Blue",1,0)+IF(Input!N22="Blue",1,0)+IF(Input!O22="Blue",1,0)+IF(Input!P22="Blue",1,0))*Input!I22+(IF(Input!U22="Blue",1,0)+IF(Input!V22="Blue",1,0)+IF(Input!W22="Blue",1,0)+IF(Input!X22="Blue",1,0)+IF(Input!Y22="Blue",1,0))*Input!R22</f>
        <v>0</v>
      </c>
      <c r="M16">
        <f>(IF(Input!L22="White",1,0)+IF(Input!M22="White",1,0)+IF(Input!N22="White",1,0)+IF(Input!O22="White",1,0)+IF(Input!P22="White",1,0))*Input!I22+(IF(Input!U22="White",1,0)+IF(Input!V22="White",1,0)+IF(Input!W22="White",1,0)+IF(Input!X22="White",1,0)+IF(Input!Y22="White",1,0))*Input!R22</f>
        <v>0</v>
      </c>
      <c r="N16">
        <f>(IF(Input!L22="Black",1,0)+IF(Input!M22="Black",1,0)+IF(Input!N22="Black",1,0)+IF(Input!O22="Black",1,0)+IF(Input!P22="Black",1,0))*Input!I22+(IF(Input!U22="Black",1,0)+IF(Input!V22="Black",1,0)+IF(Input!W22="Black",1,0)+IF(Input!X22="Black",1,0)+IF(Input!Y22="Black",1,0))*Input!R22</f>
        <v>0</v>
      </c>
      <c r="O16">
        <f>(IF(Input!L22="Colorless",1,0)+IF(Input!M22="Colorless",1,0)+IF(Input!N22="Colorless",1,0)+IF(Input!O22="Colorless",1,0)+IF(Input!P22="Colorless",1,0))*Input!I22+(IF(Input!U22="Colorless",1,0)+IF(Input!V22="Colorless",1,0)+IF(Input!W22="Colorless",1,0)+IF(Input!X22="Colorless",1,0)+IF(Input!Y22="Colorless",1,0))*Input!R22</f>
        <v>0</v>
      </c>
      <c r="Q16">
        <f>(IF(Input!Q22="Sorcery",1,0))*Input!I22+(IF(Input!Z22="Sorcery",1,0))*Input!R22</f>
        <v>0</v>
      </c>
      <c r="R16">
        <f>(IF(Input!Q22="Instant",1,0))*Input!I22+(IF(Input!Z22="Instant",1,0))*Input!R22</f>
        <v>0</v>
      </c>
      <c r="S16">
        <f>(IF(Input!Q22="Artifact",1,0))*Input!I22+(IF(Input!Z22="Artifact",1,0))*Input!R22</f>
        <v>0</v>
      </c>
      <c r="T16">
        <f>(IF(Input!Q22="Enchantment",1,0))*Input!I22+(IF(Input!Z22="Enchantment",1,0))*Input!R22</f>
        <v>0</v>
      </c>
      <c r="U16">
        <f>(IF(Input!Q22="Creature",1,0))*Input!I22+(IF(Input!Z22="Creature",1,0))*Input!R22</f>
        <v>0</v>
      </c>
      <c r="V16">
        <f>(IF(Input!Q22="Planeswalker",1,0))*Input!I22+(IF(Input!Z22="Planeswalker",1,0))*Input!R22</f>
        <v>0</v>
      </c>
      <c r="AF16">
        <f>IF(Input!K22=0,1,0)*Input!I22+IF(Input!T22=0,1,0)*Input!R22</f>
        <v>0</v>
      </c>
      <c r="AG16">
        <f>IF(Input!K22=1,1,0)*Input!I22+IF(Input!T22=1,1,0)*Input!R22</f>
        <v>0</v>
      </c>
      <c r="AH16">
        <f>IF(Input!K22=2,1,0)*Input!I22+IF(Input!T22=2,1,0)*Input!R22</f>
        <v>0</v>
      </c>
      <c r="AI16">
        <f>IF(Input!K22=3,1,0)*Input!I23+IF(Input!T22=3,1,0)*Input!R22</f>
        <v>0</v>
      </c>
      <c r="AJ16">
        <f>IF(Input!K22=4,1,0)*Input!I22+IF(Input!T22=4,1,0)*Input!R22</f>
        <v>0</v>
      </c>
      <c r="AK16">
        <f>IF(Input!K22=5,1,0)*Input!I22+IF(Input!T22=5,1,0)*Input!R22</f>
        <v>0</v>
      </c>
      <c r="AL16">
        <f>IF(Input!K22=6,1,0)*Input!I22+IF(Input!T22=6,1,0)*Input!R22</f>
        <v>0</v>
      </c>
      <c r="AM16">
        <f>IF(Input!K22=7,1,0)*Input!I22+IF(Input!T22=7,1,0)*Input!R22</f>
        <v>0</v>
      </c>
      <c r="AN16">
        <f>IF(Input!K22=8,1,0)*Input!I22+IF(Input!T22=8,1,0)*Input!R22</f>
        <v>0</v>
      </c>
      <c r="AO16">
        <f>IF(Input!K22=9,1,0)*Input!I22+IF(Input!T22=9,1,0)*Input!R22</f>
        <v>0</v>
      </c>
      <c r="AP16">
        <f>IF(Input!K22=10,1,0)*Input!I22+IF(Input!T22=10,1,0)*Input!R22</f>
        <v>0</v>
      </c>
      <c r="AQ16">
        <f>IF(Input!K22=11,1,0)*Input!I22+IF(Input!T22=11,1,0)*Input!R22</f>
        <v>0</v>
      </c>
      <c r="AR16">
        <f>IF(Input!K22=12,1,0)*Input!I22+IF(Input!T22=12,1,0)*Input!R22</f>
        <v>0</v>
      </c>
      <c r="AS16">
        <f>IF(Input!K22=13,1,0)*Input!I22+IF(Input!T22=13,1,0)*Input!R22</f>
        <v>0</v>
      </c>
      <c r="AT16">
        <f>IF(Input!K22=14,1,0)*Input!I22+IF(Input!T22=14,1,0)*Input!R22</f>
        <v>0</v>
      </c>
      <c r="AU16">
        <f>IF(Input!K22=15,1,0)*Input!I22+IF(Input!T22=15,1,0)*Input!R22</f>
        <v>0</v>
      </c>
      <c r="AV16">
        <f>IF(Input!K22=16,1,0)*Input!I22+IF(Input!T22=16,1,0)*Input!R22</f>
        <v>0</v>
      </c>
    </row>
    <row r="17" spans="2:48" x14ac:dyDescent="0.25">
      <c r="B17">
        <f>(IF(Input!C23="Green",1,0)+IF(Input!D23="Green",1,0)+IF(Input!E23="Green",1,0)+IF(Input!F23="Green",1,0)+IF(Input!G23="Green",1,0)+IF(Input!H23="Green",1,0))*Input!A23</f>
        <v>0</v>
      </c>
      <c r="C17">
        <f>(IF(Input!C23="Red",1,0)+IF(Input!D23="Red",1,0)+IF(Input!E23="Red",1,0)+IF(Input!F23="Red",1,0)+IF(Input!G23="Red",1,0)+IF(Input!H23="Red",1,0))*Input!A23</f>
        <v>0</v>
      </c>
      <c r="D17">
        <f>(IF(Input!C23="Blue",1,0)+IF(Input!D23="Blue",1,0)+IF(Input!E23="Blue",1,0)+IF(Input!F23="Blue",1,0)+IF(Input!G23="Blue",1,0)+IF(Input!H23="Blue",1,0))*Input!A23</f>
        <v>0</v>
      </c>
      <c r="E17">
        <f>(IF(Input!C23="White",1,0)+IF(Input!D23="White",1,0)+IF(Input!E23="White",1,0)+IF(Input!F23="White",1,0)+IF(Input!G23="White",1,0)+IF(Input!H23="White",1,0))*Input!A23</f>
        <v>0</v>
      </c>
      <c r="F17">
        <f>(IF(Input!C23="Black",1,0)+IF(Input!D23="Black",1,0)+IF(Input!E23="Black",1,0)+IF(Input!F23="Black",1,0)+IF(Input!G23="Black",1,0)+IF(Input!H23="Black",1,0))*Input!A23</f>
        <v>0</v>
      </c>
      <c r="G17">
        <f>(IF(Input!C23="Colorless",1,0)+IF(Input!D23="Colorless",1,0)+IF(Input!E23="Colorless",1,0)+IF(Input!F23="Colorless",1,0)+IF(Input!G23="Colorless",1,0)+IF(Input!H23="Colorless",1,0))*Input!A23</f>
        <v>0</v>
      </c>
      <c r="J17">
        <f>(IF(Input!L23="Green",1,0)+IF(Input!M23="Green",1,0)+IF(Input!N23="Green",1,0)+IF(Input!O23="Green",1,0)+IF(Input!P23="Green",1,0))*Input!I23+(IF(Input!U23="Green",1,0)+IF(Input!V23="Green",1,0)+IF(Input!W23="Green",1,0)+IF(Input!X23="Green",1,0)+IF(Input!Y23="Green",1,0))*Input!R23</f>
        <v>0</v>
      </c>
      <c r="K17">
        <f>(IF(Input!L23="Red",1,0)+IF(Input!M23="Red",1,0)+IF(Input!N23="Red",1,0)+IF(Input!O23="Red",1,0)+IF(Input!P23="Red",1,0))*Input!I23+(IF(Input!U23="Red",1,0)+IF(Input!V23="Red",1,0)+IF(Input!W23="Red",1,0)+IF(Input!X23="Red",1,0)+IF(Input!Y23="Red",1,0))*Input!R23</f>
        <v>0</v>
      </c>
      <c r="L17">
        <f>(IF(Input!L23="Blue",1,0)+IF(Input!M23="Blue",1,0)+IF(Input!N23="Blue",1,0)+IF(Input!O23="Blue",1,0)+IF(Input!P23="Blue",1,0))*Input!I23+(IF(Input!U23="Blue",1,0)+IF(Input!V23="Blue",1,0)+IF(Input!W23="Blue",1,0)+IF(Input!X23="Blue",1,0)+IF(Input!Y23="Blue",1,0))*Input!R23</f>
        <v>0</v>
      </c>
      <c r="M17">
        <f>(IF(Input!L23="White",1,0)+IF(Input!M23="White",1,0)+IF(Input!N23="White",1,0)+IF(Input!O23="White",1,0)+IF(Input!P23="White",1,0))*Input!I23+(IF(Input!U23="White",1,0)+IF(Input!V23="White",1,0)+IF(Input!W23="White",1,0)+IF(Input!X23="White",1,0)+IF(Input!Y23="White",1,0))*Input!R23</f>
        <v>0</v>
      </c>
      <c r="N17">
        <f>(IF(Input!L23="Black",1,0)+IF(Input!M23="Black",1,0)+IF(Input!N23="Black",1,0)+IF(Input!O23="Black",1,0)+IF(Input!P23="Black",1,0))*Input!I23+(IF(Input!U23="Black",1,0)+IF(Input!V23="Black",1,0)+IF(Input!W23="Black",1,0)+IF(Input!X23="Black",1,0)+IF(Input!Y23="Black",1,0))*Input!R23</f>
        <v>0</v>
      </c>
      <c r="O17">
        <f>(IF(Input!L23="Colorless",1,0)+IF(Input!M23="Colorless",1,0)+IF(Input!N23="Colorless",1,0)+IF(Input!O23="Colorless",1,0)+IF(Input!P23="Colorless",1,0))*Input!I23+(IF(Input!U23="Colorless",1,0)+IF(Input!V23="Colorless",1,0)+IF(Input!W23="Colorless",1,0)+IF(Input!X23="Colorless",1,0)+IF(Input!Y23="Colorless",1,0))*Input!R23</f>
        <v>0</v>
      </c>
      <c r="Q17">
        <f>(IF(Input!Q23="Sorcery",1,0))*Input!I23+(IF(Input!Z23="Sorcery",1,0))*Input!R23</f>
        <v>0</v>
      </c>
      <c r="R17">
        <f>(IF(Input!Q23="Instant",1,0))*Input!I23+(IF(Input!Z23="Instant",1,0))*Input!R23</f>
        <v>0</v>
      </c>
      <c r="S17">
        <f>(IF(Input!Q23="Artifact",1,0))*Input!I23+(IF(Input!Z23="Artifact",1,0))*Input!R23</f>
        <v>0</v>
      </c>
      <c r="T17">
        <f>(IF(Input!Q23="Enchantment",1,0))*Input!I23+(IF(Input!Z23="Enchantment",1,0))*Input!R23</f>
        <v>0</v>
      </c>
      <c r="U17">
        <f>(IF(Input!Q23="Creature",1,0))*Input!I23+(IF(Input!Z23="Creature",1,0))*Input!R23</f>
        <v>0</v>
      </c>
      <c r="V17">
        <f>(IF(Input!Q23="Planeswalker",1,0))*Input!I23+(IF(Input!Z23="Planeswalker",1,0))*Input!R23</f>
        <v>0</v>
      </c>
      <c r="AF17">
        <f>IF(Input!K23=0,1,0)*Input!I23+IF(Input!T23=0,1,0)*Input!R23</f>
        <v>0</v>
      </c>
      <c r="AG17">
        <f>IF(Input!K23=1,1,0)*Input!I23+IF(Input!T23=1,1,0)*Input!R23</f>
        <v>0</v>
      </c>
      <c r="AH17">
        <f>IF(Input!K23=2,1,0)*Input!I23+IF(Input!T23=2,1,0)*Input!R23</f>
        <v>0</v>
      </c>
      <c r="AI17">
        <f>IF(Input!K23=3,1,0)*Input!I24+IF(Input!T23=3,1,0)*Input!R23</f>
        <v>0</v>
      </c>
      <c r="AJ17">
        <f>IF(Input!K23=4,1,0)*Input!I23+IF(Input!T23=4,1,0)*Input!R23</f>
        <v>0</v>
      </c>
      <c r="AK17">
        <f>IF(Input!K23=5,1,0)*Input!I23+IF(Input!T23=5,1,0)*Input!R23</f>
        <v>0</v>
      </c>
      <c r="AL17">
        <f>IF(Input!K23=6,1,0)*Input!I23+IF(Input!T23=6,1,0)*Input!R23</f>
        <v>0</v>
      </c>
      <c r="AM17">
        <f>IF(Input!K23=7,1,0)*Input!I23+IF(Input!T23=7,1,0)*Input!R23</f>
        <v>0</v>
      </c>
      <c r="AN17">
        <f>IF(Input!K23=8,1,0)*Input!I23+IF(Input!T23=8,1,0)*Input!R23</f>
        <v>0</v>
      </c>
      <c r="AO17">
        <f>IF(Input!K23=9,1,0)*Input!I23+IF(Input!T23=9,1,0)*Input!R23</f>
        <v>0</v>
      </c>
      <c r="AP17">
        <f>IF(Input!K23=10,1,0)*Input!I23+IF(Input!T23=10,1,0)*Input!R23</f>
        <v>0</v>
      </c>
      <c r="AQ17">
        <f>IF(Input!K23=11,1,0)*Input!I23+IF(Input!T23=11,1,0)*Input!R23</f>
        <v>0</v>
      </c>
      <c r="AR17">
        <f>IF(Input!K23=12,1,0)*Input!I23+IF(Input!T23=12,1,0)*Input!R23</f>
        <v>0</v>
      </c>
      <c r="AS17">
        <f>IF(Input!K23=13,1,0)*Input!I23+IF(Input!T23=13,1,0)*Input!R23</f>
        <v>0</v>
      </c>
      <c r="AT17">
        <f>IF(Input!K23=14,1,0)*Input!I23+IF(Input!T23=14,1,0)*Input!R23</f>
        <v>0</v>
      </c>
      <c r="AU17">
        <f>IF(Input!K23=15,1,0)*Input!I23+IF(Input!T23=15,1,0)*Input!R23</f>
        <v>0</v>
      </c>
      <c r="AV17">
        <f>IF(Input!K23=16,1,0)*Input!I23+IF(Input!T23=16,1,0)*Input!R23</f>
        <v>0</v>
      </c>
    </row>
    <row r="18" spans="2:48" x14ac:dyDescent="0.25">
      <c r="B18">
        <f>(IF(Input!C24="Green",1,0)+IF(Input!D24="Green",1,0)+IF(Input!E24="Green",1,0)+IF(Input!F24="Green",1,0)+IF(Input!G24="Green",1,0)+IF(Input!H24="Green",1,0))*Input!A24</f>
        <v>0</v>
      </c>
      <c r="C18">
        <f>(IF(Input!C24="Red",1,0)+IF(Input!D24="Red",1,0)+IF(Input!E24="Red",1,0)+IF(Input!F24="Red",1,0)+IF(Input!G24="Red",1,0)+IF(Input!H24="Red",1,0))*Input!A24</f>
        <v>0</v>
      </c>
      <c r="D18">
        <f>(IF(Input!C24="Blue",1,0)+IF(Input!D24="Blue",1,0)+IF(Input!E24="Blue",1,0)+IF(Input!F24="Blue",1,0)+IF(Input!G24="Blue",1,0)+IF(Input!H24="Blue",1,0))*Input!A24</f>
        <v>0</v>
      </c>
      <c r="E18">
        <f>(IF(Input!C24="White",1,0)+IF(Input!D24="White",1,0)+IF(Input!E24="White",1,0)+IF(Input!F24="White",1,0)+IF(Input!G24="White",1,0)+IF(Input!H24="White",1,0))*Input!A24</f>
        <v>0</v>
      </c>
      <c r="F18">
        <f>(IF(Input!C24="Black",1,0)+IF(Input!D24="Black",1,0)+IF(Input!E24="Black",1,0)+IF(Input!F24="Black",1,0)+IF(Input!G24="Black",1,0)+IF(Input!H24="Black",1,0))*Input!A24</f>
        <v>0</v>
      </c>
      <c r="G18">
        <f>(IF(Input!C24="Colorless",1,0)+IF(Input!D24="Colorless",1,0)+IF(Input!E24="Colorless",1,0)+IF(Input!F24="Colorless",1,0)+IF(Input!G24="Colorless",1,0)+IF(Input!H24="Colorless",1,0))*Input!A24</f>
        <v>0</v>
      </c>
      <c r="J18">
        <f>(IF(Input!L24="Green",1,0)+IF(Input!M24="Green",1,0)+IF(Input!N24="Green",1,0)+IF(Input!O24="Green",1,0)+IF(Input!P24="Green",1,0))*Input!I24+(IF(Input!U24="Green",1,0)+IF(Input!V24="Green",1,0)+IF(Input!W24="Green",1,0)+IF(Input!X24="Green",1,0)+IF(Input!Y24="Green",1,0))*Input!R24</f>
        <v>0</v>
      </c>
      <c r="K18">
        <f>(IF(Input!L24="Red",1,0)+IF(Input!M24="Red",1,0)+IF(Input!N24="Red",1,0)+IF(Input!O24="Red",1,0)+IF(Input!P24="Red",1,0))*Input!I24+(IF(Input!U24="Red",1,0)+IF(Input!V24="Red",1,0)+IF(Input!W24="Red",1,0)+IF(Input!X24="Red",1,0)+IF(Input!Y24="Red",1,0))*Input!R24</f>
        <v>0</v>
      </c>
      <c r="L18">
        <f>(IF(Input!L24="Blue",1,0)+IF(Input!M24="Blue",1,0)+IF(Input!N24="Blue",1,0)+IF(Input!O24="Blue",1,0)+IF(Input!P24="Blue",1,0))*Input!I24+(IF(Input!U24="Blue",1,0)+IF(Input!V24="Blue",1,0)+IF(Input!W24="Blue",1,0)+IF(Input!X24="Blue",1,0)+IF(Input!Y24="Blue",1,0))*Input!R24</f>
        <v>0</v>
      </c>
      <c r="M18">
        <f>(IF(Input!L24="White",1,0)+IF(Input!M24="White",1,0)+IF(Input!N24="White",1,0)+IF(Input!O24="White",1,0)+IF(Input!P24="White",1,0))*Input!I24+(IF(Input!U24="White",1,0)+IF(Input!V24="White",1,0)+IF(Input!W24="White",1,0)+IF(Input!X24="White",1,0)+IF(Input!Y24="White",1,0))*Input!R24</f>
        <v>0</v>
      </c>
      <c r="N18">
        <f>(IF(Input!L24="Black",1,0)+IF(Input!M24="Black",1,0)+IF(Input!N24="Black",1,0)+IF(Input!O24="Black",1,0)+IF(Input!P24="Black",1,0))*Input!I24+(IF(Input!U24="Black",1,0)+IF(Input!V24="Black",1,0)+IF(Input!W24="Black",1,0)+IF(Input!X24="Black",1,0)+IF(Input!Y24="Black",1,0))*Input!R24</f>
        <v>0</v>
      </c>
      <c r="O18">
        <f>(IF(Input!L24="Colorless",1,0)+IF(Input!M24="Colorless",1,0)+IF(Input!N24="Colorless",1,0)+IF(Input!O24="Colorless",1,0)+IF(Input!P24="Colorless",1,0))*Input!I24+(IF(Input!U24="Colorless",1,0)+IF(Input!V24="Colorless",1,0)+IF(Input!W24="Colorless",1,0)+IF(Input!X24="Colorless",1,0)+IF(Input!Y24="Colorless",1,0))*Input!R24</f>
        <v>0</v>
      </c>
      <c r="Q18">
        <f>(IF(Input!Q24="Sorcery",1,0))*Input!I24+(IF(Input!Z24="Sorcery",1,0))*Input!R24</f>
        <v>0</v>
      </c>
      <c r="R18">
        <f>(IF(Input!Q24="Instant",1,0))*Input!I24+(IF(Input!Z24="Instant",1,0))*Input!R24</f>
        <v>0</v>
      </c>
      <c r="S18">
        <f>(IF(Input!Q24="Artifact",1,0))*Input!I24+(IF(Input!Z24="Artifact",1,0))*Input!R24</f>
        <v>0</v>
      </c>
      <c r="T18">
        <f>(IF(Input!Q24="Enchantment",1,0))*Input!I24+(IF(Input!Z24="Enchantment",1,0))*Input!R24</f>
        <v>0</v>
      </c>
      <c r="U18">
        <f>(IF(Input!Q24="Creature",1,0))*Input!I24+(IF(Input!Z24="Creature",1,0))*Input!R24</f>
        <v>0</v>
      </c>
      <c r="V18">
        <f>(IF(Input!Q24="Planeswalker",1,0))*Input!I24+(IF(Input!Z24="Planeswalker",1,0))*Input!R24</f>
        <v>0</v>
      </c>
      <c r="AF18">
        <f>IF(Input!K24=0,1,0)*Input!I24+IF(Input!T24=0,1,0)*Input!R24</f>
        <v>0</v>
      </c>
      <c r="AG18">
        <f>IF(Input!K24=1,1,0)*Input!I24+IF(Input!T24=1,1,0)*Input!R24</f>
        <v>0</v>
      </c>
      <c r="AH18">
        <f>IF(Input!K24=2,1,0)*Input!I24+IF(Input!T24=2,1,0)*Input!R24</f>
        <v>0</v>
      </c>
      <c r="AI18">
        <f>IF(Input!K24=3,1,0)*Input!I25+IF(Input!T24=3,1,0)*Input!R24</f>
        <v>0</v>
      </c>
      <c r="AJ18">
        <f>IF(Input!K24=4,1,0)*Input!I24+IF(Input!T24=4,1,0)*Input!R24</f>
        <v>0</v>
      </c>
      <c r="AK18">
        <f>IF(Input!K24=5,1,0)*Input!I24+IF(Input!T24=5,1,0)*Input!R24</f>
        <v>0</v>
      </c>
      <c r="AL18">
        <f>IF(Input!K24=6,1,0)*Input!I24+IF(Input!T24=6,1,0)*Input!R24</f>
        <v>0</v>
      </c>
      <c r="AM18">
        <f>IF(Input!K24=7,1,0)*Input!I24+IF(Input!T24=7,1,0)*Input!R24</f>
        <v>0</v>
      </c>
      <c r="AN18">
        <f>IF(Input!K24=8,1,0)*Input!I24+IF(Input!T24=8,1,0)*Input!R24</f>
        <v>0</v>
      </c>
      <c r="AO18">
        <f>IF(Input!K24=9,1,0)*Input!I24+IF(Input!T24=9,1,0)*Input!R24</f>
        <v>0</v>
      </c>
      <c r="AP18">
        <f>IF(Input!K24=10,1,0)*Input!I24+IF(Input!T24=10,1,0)*Input!R24</f>
        <v>0</v>
      </c>
      <c r="AQ18">
        <f>IF(Input!K24=11,1,0)*Input!I24+IF(Input!T24=11,1,0)*Input!R24</f>
        <v>0</v>
      </c>
      <c r="AR18">
        <f>IF(Input!K24=12,1,0)*Input!I24+IF(Input!T24=12,1,0)*Input!R24</f>
        <v>0</v>
      </c>
      <c r="AS18">
        <f>IF(Input!K24=13,1,0)*Input!I24+IF(Input!T24=13,1,0)*Input!R24</f>
        <v>0</v>
      </c>
      <c r="AT18">
        <f>IF(Input!K24=14,1,0)*Input!I24+IF(Input!T24=14,1,0)*Input!R24</f>
        <v>0</v>
      </c>
      <c r="AU18">
        <f>IF(Input!K24=15,1,0)*Input!I24+IF(Input!T24=15,1,0)*Input!R24</f>
        <v>0</v>
      </c>
      <c r="AV18">
        <f>IF(Input!K24=16,1,0)*Input!I24+IF(Input!T24=16,1,0)*Input!R24</f>
        <v>0</v>
      </c>
    </row>
    <row r="19" spans="2:48" x14ac:dyDescent="0.25">
      <c r="B19">
        <f>(IF(Input!C25="Green",1,0)+IF(Input!D25="Green",1,0)+IF(Input!E25="Green",1,0)+IF(Input!F25="Green",1,0)+IF(Input!G25="Green",1,0)+IF(Input!H25="Green",1,0))*Input!A25</f>
        <v>0</v>
      </c>
      <c r="C19">
        <f>(IF(Input!C25="Red",1,0)+IF(Input!D25="Red",1,0)+IF(Input!E25="Red",1,0)+IF(Input!F25="Red",1,0)+IF(Input!G25="Red",1,0)+IF(Input!H25="Red",1,0))*Input!A25</f>
        <v>0</v>
      </c>
      <c r="D19">
        <f>(IF(Input!C25="Blue",1,0)+IF(Input!D25="Blue",1,0)+IF(Input!E25="Blue",1,0)+IF(Input!F25="Blue",1,0)+IF(Input!G25="Blue",1,0)+IF(Input!H25="Blue",1,0))*Input!A25</f>
        <v>0</v>
      </c>
      <c r="E19">
        <f>(IF(Input!C25="White",1,0)+IF(Input!D25="White",1,0)+IF(Input!E25="White",1,0)+IF(Input!F25="White",1,0)+IF(Input!G25="White",1,0)+IF(Input!H25="White",1,0))*Input!A25</f>
        <v>0</v>
      </c>
      <c r="F19">
        <f>(IF(Input!C25="Black",1,0)+IF(Input!D25="Black",1,0)+IF(Input!E25="Black",1,0)+IF(Input!F25="Black",1,0)+IF(Input!G25="Black",1,0)+IF(Input!H25="Black",1,0))*Input!A25</f>
        <v>0</v>
      </c>
      <c r="G19">
        <f>(IF(Input!C25="Colorless",1,0)+IF(Input!D25="Colorless",1,0)+IF(Input!E25="Colorless",1,0)+IF(Input!F25="Colorless",1,0)+IF(Input!G25="Colorless",1,0)+IF(Input!H25="Colorless",1,0))*Input!A25</f>
        <v>0</v>
      </c>
      <c r="J19">
        <f>(IF(Input!L25="Green",1,0)+IF(Input!M25="Green",1,0)+IF(Input!N25="Green",1,0)+IF(Input!O25="Green",1,0)+IF(Input!P25="Green",1,0))*Input!I25+(IF(Input!U25="Green",1,0)+IF(Input!V25="Green",1,0)+IF(Input!W25="Green",1,0)+IF(Input!X25="Green",1,0)+IF(Input!Y25="Green",1,0))*Input!R25</f>
        <v>0</v>
      </c>
      <c r="K19">
        <f>(IF(Input!L25="Red",1,0)+IF(Input!M25="Red",1,0)+IF(Input!N25="Red",1,0)+IF(Input!O25="Red",1,0)+IF(Input!P25="Red",1,0))*Input!I25+(IF(Input!U25="Red",1,0)+IF(Input!V25="Red",1,0)+IF(Input!W25="Red",1,0)+IF(Input!X25="Red",1,0)+IF(Input!Y25="Red",1,0))*Input!R25</f>
        <v>0</v>
      </c>
      <c r="L19">
        <f>(IF(Input!L25="Blue",1,0)+IF(Input!M25="Blue",1,0)+IF(Input!N25="Blue",1,0)+IF(Input!O25="Blue",1,0)+IF(Input!P25="Blue",1,0))*Input!I25+(IF(Input!U25="Blue",1,0)+IF(Input!V25="Blue",1,0)+IF(Input!W25="Blue",1,0)+IF(Input!X25="Blue",1,0)+IF(Input!Y25="Blue",1,0))*Input!R25</f>
        <v>0</v>
      </c>
      <c r="M19">
        <f>(IF(Input!L25="White",1,0)+IF(Input!M25="White",1,0)+IF(Input!N25="White",1,0)+IF(Input!O25="White",1,0)+IF(Input!P25="White",1,0))*Input!I25+(IF(Input!U25="White",1,0)+IF(Input!V25="White",1,0)+IF(Input!W25="White",1,0)+IF(Input!X25="White",1,0)+IF(Input!Y25="White",1,0))*Input!R25</f>
        <v>0</v>
      </c>
      <c r="N19">
        <f>(IF(Input!L25="Black",1,0)+IF(Input!M25="Black",1,0)+IF(Input!N25="Black",1,0)+IF(Input!O25="Black",1,0)+IF(Input!P25="Black",1,0))*Input!I25+(IF(Input!U25="Black",1,0)+IF(Input!V25="Black",1,0)+IF(Input!W25="Black",1,0)+IF(Input!X25="Black",1,0)+IF(Input!Y25="Black",1,0))*Input!R25</f>
        <v>0</v>
      </c>
      <c r="O19">
        <f>(IF(Input!L25="Colorless",1,0)+IF(Input!M25="Colorless",1,0)+IF(Input!N25="Colorless",1,0)+IF(Input!O25="Colorless",1,0)+IF(Input!P25="Colorless",1,0))*Input!I25+(IF(Input!U25="Colorless",1,0)+IF(Input!V25="Colorless",1,0)+IF(Input!W25="Colorless",1,0)+IF(Input!X25="Colorless",1,0)+IF(Input!Y25="Colorless",1,0))*Input!R25</f>
        <v>0</v>
      </c>
      <c r="Q19">
        <f>(IF(Input!Q25="Sorcery",1,0))*Input!I25+(IF(Input!Z25="Sorcery",1,0))*Input!R25</f>
        <v>0</v>
      </c>
      <c r="R19">
        <f>(IF(Input!Q25="Instant",1,0))*Input!I25+(IF(Input!Z25="Instant",1,0))*Input!R25</f>
        <v>0</v>
      </c>
      <c r="S19">
        <f>(IF(Input!Q25="Artifact",1,0))*Input!I25+(IF(Input!Z25="Artifact",1,0))*Input!R25</f>
        <v>0</v>
      </c>
      <c r="T19">
        <f>(IF(Input!Q25="Enchantment",1,0))*Input!I25+(IF(Input!Z25="Enchantment",1,0))*Input!R25</f>
        <v>0</v>
      </c>
      <c r="U19">
        <f>(IF(Input!Q25="Creature",1,0))*Input!I25+(IF(Input!Z25="Creature",1,0))*Input!R25</f>
        <v>0</v>
      </c>
      <c r="V19">
        <f>(IF(Input!Q25="Planeswalker",1,0))*Input!I25+(IF(Input!Z25="Planeswalker",1,0))*Input!R25</f>
        <v>0</v>
      </c>
      <c r="AF19">
        <f>IF(Input!K25=0,1,0)*Input!I25+IF(Input!T25=0,1,0)*Input!R25</f>
        <v>0</v>
      </c>
      <c r="AG19">
        <f>IF(Input!K25=1,1,0)*Input!I25+IF(Input!T25=1,1,0)*Input!R25</f>
        <v>0</v>
      </c>
      <c r="AH19">
        <f>IF(Input!K25=2,1,0)*Input!I25+IF(Input!T25=2,1,0)*Input!R25</f>
        <v>0</v>
      </c>
      <c r="AI19">
        <f>IF(Input!K25=3,1,0)*Input!I26+IF(Input!T25=3,1,0)*Input!R25</f>
        <v>0</v>
      </c>
      <c r="AJ19">
        <f>IF(Input!K25=4,1,0)*Input!I25+IF(Input!T25=4,1,0)*Input!R25</f>
        <v>0</v>
      </c>
      <c r="AK19">
        <f>IF(Input!K25=5,1,0)*Input!I25+IF(Input!T25=5,1,0)*Input!R25</f>
        <v>0</v>
      </c>
      <c r="AL19">
        <f>IF(Input!K25=6,1,0)*Input!I25+IF(Input!T25=6,1,0)*Input!R25</f>
        <v>0</v>
      </c>
      <c r="AM19">
        <f>IF(Input!K25=7,1,0)*Input!I25+IF(Input!T25=7,1,0)*Input!R25</f>
        <v>0</v>
      </c>
      <c r="AN19">
        <f>IF(Input!K25=8,1,0)*Input!I25+IF(Input!T25=8,1,0)*Input!R25</f>
        <v>0</v>
      </c>
      <c r="AO19">
        <f>IF(Input!K25=9,1,0)*Input!I25+IF(Input!T25=9,1,0)*Input!R25</f>
        <v>0</v>
      </c>
      <c r="AP19">
        <f>IF(Input!K25=10,1,0)*Input!I25+IF(Input!T25=10,1,0)*Input!R25</f>
        <v>0</v>
      </c>
      <c r="AQ19">
        <f>IF(Input!K25=11,1,0)*Input!I25+IF(Input!T25=11,1,0)*Input!R25</f>
        <v>0</v>
      </c>
      <c r="AR19">
        <f>IF(Input!K25=12,1,0)*Input!I25+IF(Input!T25=12,1,0)*Input!R25</f>
        <v>0</v>
      </c>
      <c r="AS19">
        <f>IF(Input!K25=13,1,0)*Input!I25+IF(Input!T25=13,1,0)*Input!R25</f>
        <v>0</v>
      </c>
      <c r="AT19">
        <f>IF(Input!K25=14,1,0)*Input!I25+IF(Input!T25=14,1,0)*Input!R25</f>
        <v>0</v>
      </c>
      <c r="AU19">
        <f>IF(Input!K25=15,1,0)*Input!I25+IF(Input!T25=15,1,0)*Input!R25</f>
        <v>0</v>
      </c>
      <c r="AV19">
        <f>IF(Input!K25=16,1,0)*Input!I25+IF(Input!T25=16,1,0)*Input!R25</f>
        <v>0</v>
      </c>
    </row>
    <row r="20" spans="2:48" x14ac:dyDescent="0.25">
      <c r="B20">
        <f>(IF(Input!C26="Green",1,0)+IF(Input!D26="Green",1,0)+IF(Input!E26="Green",1,0)+IF(Input!F26="Green",1,0)+IF(Input!G26="Green",1,0)+IF(Input!H26="Green",1,0))*Input!A26</f>
        <v>0</v>
      </c>
      <c r="C20">
        <f>(IF(Input!C26="Red",1,0)+IF(Input!D26="Red",1,0)+IF(Input!E26="Red",1,0)+IF(Input!F26="Red",1,0)+IF(Input!G26="Red",1,0)+IF(Input!H26="Red",1,0))*Input!A26</f>
        <v>0</v>
      </c>
      <c r="D20">
        <f>(IF(Input!C26="Blue",1,0)+IF(Input!D26="Blue",1,0)+IF(Input!E26="Blue",1,0)+IF(Input!F26="Blue",1,0)+IF(Input!G26="Blue",1,0)+IF(Input!H26="Blue",1,0))*Input!A26</f>
        <v>0</v>
      </c>
      <c r="E20">
        <f>(IF(Input!C26="White",1,0)+IF(Input!D26="White",1,0)+IF(Input!E26="White",1,0)+IF(Input!F26="White",1,0)+IF(Input!G26="White",1,0)+IF(Input!H26="White",1,0))*Input!A26</f>
        <v>0</v>
      </c>
      <c r="F20">
        <f>(IF(Input!C26="Black",1,0)+IF(Input!D26="Black",1,0)+IF(Input!E26="Black",1,0)+IF(Input!F26="Black",1,0)+IF(Input!G26="Black",1,0)+IF(Input!H26="Black",1,0))*Input!A26</f>
        <v>0</v>
      </c>
      <c r="G20">
        <f>(IF(Input!C26="Colorless",1,0)+IF(Input!D26="Colorless",1,0)+IF(Input!E26="Colorless",1,0)+IF(Input!F26="Colorless",1,0)+IF(Input!G26="Colorless",1,0)+IF(Input!H26="Colorless",1,0))*Input!A26</f>
        <v>0</v>
      </c>
      <c r="J20">
        <f>(IF(Input!L26="Green",1,0)+IF(Input!M26="Green",1,0)+IF(Input!N26="Green",1,0)+IF(Input!O26="Green",1,0)+IF(Input!P26="Green",1,0))*Input!I26+(IF(Input!U26="Green",1,0)+IF(Input!V26="Green",1,0)+IF(Input!W26="Green",1,0)+IF(Input!X26="Green",1,0)+IF(Input!Y26="Green",1,0))*Input!R26</f>
        <v>0</v>
      </c>
      <c r="K20">
        <f>(IF(Input!L26="Red",1,0)+IF(Input!M26="Red",1,0)+IF(Input!N26="Red",1,0)+IF(Input!O26="Red",1,0)+IF(Input!P26="Red",1,0))*Input!I26+(IF(Input!U26="Red",1,0)+IF(Input!V26="Red",1,0)+IF(Input!W26="Red",1,0)+IF(Input!X26="Red",1,0)+IF(Input!Y26="Red",1,0))*Input!R26</f>
        <v>0</v>
      </c>
      <c r="L20">
        <f>(IF(Input!L26="Blue",1,0)+IF(Input!M26="Blue",1,0)+IF(Input!N26="Blue",1,0)+IF(Input!O26="Blue",1,0)+IF(Input!P26="Blue",1,0))*Input!I26+(IF(Input!U26="Blue",1,0)+IF(Input!V26="Blue",1,0)+IF(Input!W26="Blue",1,0)+IF(Input!X26="Blue",1,0)+IF(Input!Y26="Blue",1,0))*Input!R26</f>
        <v>0</v>
      </c>
      <c r="M20">
        <f>(IF(Input!L26="White",1,0)+IF(Input!M26="White",1,0)+IF(Input!N26="White",1,0)+IF(Input!O26="White",1,0)+IF(Input!P26="White",1,0))*Input!I26+(IF(Input!U26="White",1,0)+IF(Input!V26="White",1,0)+IF(Input!W26="White",1,0)+IF(Input!X26="White",1,0)+IF(Input!Y26="White",1,0))*Input!R26</f>
        <v>0</v>
      </c>
      <c r="N20">
        <f>(IF(Input!L26="Black",1,0)+IF(Input!M26="Black",1,0)+IF(Input!N26="Black",1,0)+IF(Input!O26="Black",1,0)+IF(Input!P26="Black",1,0))*Input!I26+(IF(Input!U26="Black",1,0)+IF(Input!V26="Black",1,0)+IF(Input!W26="Black",1,0)+IF(Input!X26="Black",1,0)+IF(Input!Y26="Black",1,0))*Input!R26</f>
        <v>0</v>
      </c>
      <c r="O20">
        <f>(IF(Input!L26="Colorless",1,0)+IF(Input!M26="Colorless",1,0)+IF(Input!N26="Colorless",1,0)+IF(Input!O26="Colorless",1,0)+IF(Input!P26="Colorless",1,0))*Input!I26+(IF(Input!U26="Colorless",1,0)+IF(Input!V26="Colorless",1,0)+IF(Input!W26="Colorless",1,0)+IF(Input!X26="Colorless",1,0)+IF(Input!Y26="Colorless",1,0))*Input!R26</f>
        <v>0</v>
      </c>
      <c r="Q20">
        <f>(IF(Input!Q26="Sorcery",1,0))*Input!I26+(IF(Input!Z26="Sorcery",1,0))*Input!R26</f>
        <v>0</v>
      </c>
      <c r="R20">
        <f>(IF(Input!Q26="Instant",1,0))*Input!I26+(IF(Input!Z26="Instant",1,0))*Input!R26</f>
        <v>0</v>
      </c>
      <c r="S20">
        <f>(IF(Input!Q26="Artifact",1,0))*Input!I26+(IF(Input!Z26="Artifact",1,0))*Input!R26</f>
        <v>0</v>
      </c>
      <c r="T20">
        <f>(IF(Input!Q26="Enchantment",1,0))*Input!I26+(IF(Input!Z26="Enchantment",1,0))*Input!R26</f>
        <v>0</v>
      </c>
      <c r="U20">
        <f>(IF(Input!Q26="Creature",1,0))*Input!I26+(IF(Input!Z26="Creature",1,0))*Input!R26</f>
        <v>0</v>
      </c>
      <c r="V20">
        <f>(IF(Input!Q26="Planeswalker",1,0))*Input!I26+(IF(Input!Z26="Planeswalker",1,0))*Input!R26</f>
        <v>0</v>
      </c>
      <c r="AF20">
        <f>IF(Input!K26=0,1,0)*Input!I26+IF(Input!T26=0,1,0)*Input!R26</f>
        <v>0</v>
      </c>
      <c r="AG20">
        <f>IF(Input!K26=1,1,0)*Input!I26+IF(Input!T26=1,1,0)*Input!R26</f>
        <v>0</v>
      </c>
      <c r="AH20">
        <f>IF(Input!K26=2,1,0)*Input!I26+IF(Input!T26=2,1,0)*Input!R26</f>
        <v>0</v>
      </c>
      <c r="AI20">
        <f>IF(Input!K26=3,1,0)*Input!I27+IF(Input!T26=3,1,0)*Input!R26</f>
        <v>0</v>
      </c>
      <c r="AJ20">
        <f>IF(Input!K26=4,1,0)*Input!I26+IF(Input!T26=4,1,0)*Input!R26</f>
        <v>0</v>
      </c>
      <c r="AK20">
        <f>IF(Input!K26=5,1,0)*Input!I26+IF(Input!T26=5,1,0)*Input!R26</f>
        <v>0</v>
      </c>
      <c r="AL20">
        <f>IF(Input!K26=6,1,0)*Input!I26+IF(Input!T26=6,1,0)*Input!R26</f>
        <v>0</v>
      </c>
      <c r="AM20">
        <f>IF(Input!K26=7,1,0)*Input!I26+IF(Input!T26=7,1,0)*Input!R26</f>
        <v>0</v>
      </c>
      <c r="AN20">
        <f>IF(Input!K26=8,1,0)*Input!I26+IF(Input!T26=8,1,0)*Input!R26</f>
        <v>0</v>
      </c>
      <c r="AO20">
        <f>IF(Input!K26=9,1,0)*Input!I26+IF(Input!T26=9,1,0)*Input!R26</f>
        <v>0</v>
      </c>
      <c r="AP20">
        <f>IF(Input!K26=10,1,0)*Input!I26+IF(Input!T26=10,1,0)*Input!R26</f>
        <v>0</v>
      </c>
      <c r="AQ20">
        <f>IF(Input!K26=11,1,0)*Input!I26+IF(Input!T26=11,1,0)*Input!R26</f>
        <v>0</v>
      </c>
      <c r="AR20">
        <f>IF(Input!K26=12,1,0)*Input!I26+IF(Input!T26=12,1,0)*Input!R26</f>
        <v>0</v>
      </c>
      <c r="AS20">
        <f>IF(Input!K26=13,1,0)*Input!I26+IF(Input!T26=13,1,0)*Input!R26</f>
        <v>0</v>
      </c>
      <c r="AT20">
        <f>IF(Input!K26=14,1,0)*Input!I26+IF(Input!T26=14,1,0)*Input!R26</f>
        <v>0</v>
      </c>
      <c r="AU20">
        <f>IF(Input!K26=15,1,0)*Input!I26+IF(Input!T26=15,1,0)*Input!R26</f>
        <v>0</v>
      </c>
      <c r="AV20">
        <f>IF(Input!K26=16,1,0)*Input!I26+IF(Input!T26=16,1,0)*Input!R26</f>
        <v>0</v>
      </c>
    </row>
    <row r="21" spans="2:48" x14ac:dyDescent="0.25">
      <c r="B21">
        <f>(IF(Input!C27="Green",1,0)+IF(Input!D27="Green",1,0)+IF(Input!E27="Green",1,0)+IF(Input!F27="Green",1,0)+IF(Input!G27="Green",1,0)+IF(Input!H27="Green",1,0))*Input!A27</f>
        <v>0</v>
      </c>
      <c r="C21">
        <f>(IF(Input!C27="Red",1,0)+IF(Input!D27="Red",1,0)+IF(Input!E27="Red",1,0)+IF(Input!F27="Red",1,0)+IF(Input!G27="Red",1,0)+IF(Input!H27="Red",1,0))*Input!A27</f>
        <v>0</v>
      </c>
      <c r="D21">
        <f>(IF(Input!C27="Blue",1,0)+IF(Input!D27="Blue",1,0)+IF(Input!E27="Blue",1,0)+IF(Input!F27="Blue",1,0)+IF(Input!G27="Blue",1,0)+IF(Input!H27="Blue",1,0))*Input!A27</f>
        <v>0</v>
      </c>
      <c r="E21">
        <f>(IF(Input!C27="White",1,0)+IF(Input!D27="White",1,0)+IF(Input!E27="White",1,0)+IF(Input!F27="White",1,0)+IF(Input!G27="White",1,0)+IF(Input!H27="White",1,0))*Input!A27</f>
        <v>0</v>
      </c>
      <c r="F21">
        <f>(IF(Input!C27="Black",1,0)+IF(Input!D27="Black",1,0)+IF(Input!E27="Black",1,0)+IF(Input!F27="Black",1,0)+IF(Input!G27="Black",1,0)+IF(Input!H27="Black",1,0))*Input!A27</f>
        <v>0</v>
      </c>
      <c r="G21">
        <f>(IF(Input!C27="Colorless",1,0)+IF(Input!D27="Colorless",1,0)+IF(Input!E27="Colorless",1,0)+IF(Input!F27="Colorless",1,0)+IF(Input!G27="Colorless",1,0)+IF(Input!H27="Colorless",1,0))*Input!A27</f>
        <v>0</v>
      </c>
      <c r="J21">
        <f>(IF(Input!L27="Green",1,0)+IF(Input!M27="Green",1,0)+IF(Input!N27="Green",1,0)+IF(Input!O27="Green",1,0)+IF(Input!P27="Green",1,0))*Input!I27+(IF(Input!U27="Green",1,0)+IF(Input!V27="Green",1,0)+IF(Input!W27="Green",1,0)+IF(Input!X27="Green",1,0)+IF(Input!Y27="Green",1,0))*Input!R27</f>
        <v>0</v>
      </c>
      <c r="K21">
        <f>(IF(Input!L27="Red",1,0)+IF(Input!M27="Red",1,0)+IF(Input!N27="Red",1,0)+IF(Input!O27="Red",1,0)+IF(Input!P27="Red",1,0))*Input!I27+(IF(Input!U27="Red",1,0)+IF(Input!V27="Red",1,0)+IF(Input!W27="Red",1,0)+IF(Input!X27="Red",1,0)+IF(Input!Y27="Red",1,0))*Input!R27</f>
        <v>0</v>
      </c>
      <c r="L21">
        <f>(IF(Input!L27="Blue",1,0)+IF(Input!M27="Blue",1,0)+IF(Input!N27="Blue",1,0)+IF(Input!O27="Blue",1,0)+IF(Input!P27="Blue",1,0))*Input!I27+(IF(Input!U27="Blue",1,0)+IF(Input!V27="Blue",1,0)+IF(Input!W27="Blue",1,0)+IF(Input!X27="Blue",1,0)+IF(Input!Y27="Blue",1,0))*Input!R27</f>
        <v>0</v>
      </c>
      <c r="M21">
        <f>(IF(Input!L27="White",1,0)+IF(Input!M27="White",1,0)+IF(Input!N27="White",1,0)+IF(Input!O27="White",1,0)+IF(Input!P27="White",1,0))*Input!I27+(IF(Input!U27="White",1,0)+IF(Input!V27="White",1,0)+IF(Input!W27="White",1,0)+IF(Input!X27="White",1,0)+IF(Input!Y27="White",1,0))*Input!R27</f>
        <v>0</v>
      </c>
      <c r="N21">
        <f>(IF(Input!L27="Black",1,0)+IF(Input!M27="Black",1,0)+IF(Input!N27="Black",1,0)+IF(Input!O27="Black",1,0)+IF(Input!P27="Black",1,0))*Input!I27+(IF(Input!U27="Black",1,0)+IF(Input!V27="Black",1,0)+IF(Input!W27="Black",1,0)+IF(Input!X27="Black",1,0)+IF(Input!Y27="Black",1,0))*Input!R27</f>
        <v>0</v>
      </c>
      <c r="O21">
        <f>(IF(Input!L27="Colorless",1,0)+IF(Input!M27="Colorless",1,0)+IF(Input!N27="Colorless",1,0)+IF(Input!O27="Colorless",1,0)+IF(Input!P27="Colorless",1,0))*Input!I27+(IF(Input!U27="Colorless",1,0)+IF(Input!V27="Colorless",1,0)+IF(Input!W27="Colorless",1,0)+IF(Input!X27="Colorless",1,0)+IF(Input!Y27="Colorless",1,0))*Input!R27</f>
        <v>0</v>
      </c>
      <c r="Q21">
        <f>(IF(Input!Q27="Sorcery",1,0))*Input!I27+(IF(Input!Z27="Sorcery",1,0))*Input!R27</f>
        <v>0</v>
      </c>
      <c r="R21">
        <f>(IF(Input!Q27="Instant",1,0))*Input!I27+(IF(Input!Z27="Instant",1,0))*Input!R27</f>
        <v>0</v>
      </c>
      <c r="S21">
        <f>(IF(Input!Q27="Artifact",1,0))*Input!I27+(IF(Input!Z27="Artifact",1,0))*Input!R27</f>
        <v>0</v>
      </c>
      <c r="T21">
        <f>(IF(Input!Q27="Enchantment",1,0))*Input!I27+(IF(Input!Z27="Enchantment",1,0))*Input!R27</f>
        <v>0</v>
      </c>
      <c r="U21">
        <f>(IF(Input!Q27="Creature",1,0))*Input!I27+(IF(Input!Z27="Creature",1,0))*Input!R27</f>
        <v>0</v>
      </c>
      <c r="V21">
        <f>(IF(Input!Q27="Planeswalker",1,0))*Input!I27+(IF(Input!Z27="Planeswalker",1,0))*Input!R27</f>
        <v>0</v>
      </c>
      <c r="AF21">
        <f>IF(Input!K27=0,1,0)*Input!I27+IF(Input!T27=0,1,0)*Input!R27</f>
        <v>0</v>
      </c>
      <c r="AG21">
        <f>IF(Input!K27=1,1,0)*Input!I27+IF(Input!T27=1,1,0)*Input!R27</f>
        <v>0</v>
      </c>
      <c r="AH21">
        <f>IF(Input!K27=2,1,0)*Input!I27+IF(Input!T27=2,1,0)*Input!R27</f>
        <v>0</v>
      </c>
      <c r="AI21">
        <f>IF(Input!K27=3,1,0)*Input!I28+IF(Input!T27=3,1,0)*Input!R27</f>
        <v>0</v>
      </c>
      <c r="AJ21">
        <f>IF(Input!K27=4,1,0)*Input!I27+IF(Input!T27=4,1,0)*Input!R27</f>
        <v>0</v>
      </c>
      <c r="AK21">
        <f>IF(Input!K27=5,1,0)*Input!I27+IF(Input!T27=5,1,0)*Input!R27</f>
        <v>0</v>
      </c>
      <c r="AL21">
        <f>IF(Input!K27=6,1,0)*Input!I27+IF(Input!T27=6,1,0)*Input!R27</f>
        <v>0</v>
      </c>
      <c r="AM21">
        <f>IF(Input!K27=7,1,0)*Input!I27+IF(Input!T27=7,1,0)*Input!R27</f>
        <v>0</v>
      </c>
      <c r="AN21">
        <f>IF(Input!K27=8,1,0)*Input!I27+IF(Input!T27=8,1,0)*Input!R27</f>
        <v>0</v>
      </c>
      <c r="AO21">
        <f>IF(Input!K27=9,1,0)*Input!I27+IF(Input!T27=9,1,0)*Input!R27</f>
        <v>0</v>
      </c>
      <c r="AP21">
        <f>IF(Input!K27=10,1,0)*Input!I27+IF(Input!T27=10,1,0)*Input!R27</f>
        <v>0</v>
      </c>
      <c r="AQ21">
        <f>IF(Input!K27=11,1,0)*Input!I27+IF(Input!T27=11,1,0)*Input!R27</f>
        <v>0</v>
      </c>
      <c r="AR21">
        <f>IF(Input!K27=12,1,0)*Input!I27+IF(Input!T27=12,1,0)*Input!R27</f>
        <v>0</v>
      </c>
      <c r="AS21">
        <f>IF(Input!K27=13,1,0)*Input!I27+IF(Input!T27=13,1,0)*Input!R27</f>
        <v>0</v>
      </c>
      <c r="AT21">
        <f>IF(Input!K27=14,1,0)*Input!I27+IF(Input!T27=14,1,0)*Input!R27</f>
        <v>0</v>
      </c>
      <c r="AU21">
        <f>IF(Input!K27=15,1,0)*Input!I27+IF(Input!T27=15,1,0)*Input!R27</f>
        <v>0</v>
      </c>
      <c r="AV21">
        <f>IF(Input!K27=16,1,0)*Input!I27+IF(Input!T27=16,1,0)*Input!R27</f>
        <v>0</v>
      </c>
    </row>
    <row r="22" spans="2:48" x14ac:dyDescent="0.25">
      <c r="B22">
        <f>(IF(Input!C28="Green",1,0)+IF(Input!D28="Green",1,0)+IF(Input!E28="Green",1,0)+IF(Input!F28="Green",1,0)+IF(Input!G28="Green",1,0)+IF(Input!H28="Green",1,0))*Input!A28</f>
        <v>0</v>
      </c>
      <c r="C22">
        <f>(IF(Input!C28="Red",1,0)+IF(Input!D28="Red",1,0)+IF(Input!E28="Red",1,0)+IF(Input!F28="Red",1,0)+IF(Input!G28="Red",1,0)+IF(Input!H28="Red",1,0))*Input!A28</f>
        <v>0</v>
      </c>
      <c r="D22">
        <f>(IF(Input!C28="Blue",1,0)+IF(Input!D28="Blue",1,0)+IF(Input!E28="Blue",1,0)+IF(Input!F28="Blue",1,0)+IF(Input!G28="Blue",1,0)+IF(Input!H28="Blue",1,0))*Input!A28</f>
        <v>0</v>
      </c>
      <c r="E22">
        <f>(IF(Input!C28="White",1,0)+IF(Input!D28="White",1,0)+IF(Input!E28="White",1,0)+IF(Input!F28="White",1,0)+IF(Input!G28="White",1,0)+IF(Input!H28="White",1,0))*Input!A28</f>
        <v>0</v>
      </c>
      <c r="F22">
        <f>(IF(Input!C28="Black",1,0)+IF(Input!D28="Black",1,0)+IF(Input!E28="Black",1,0)+IF(Input!F28="Black",1,0)+IF(Input!G28="Black",1,0)+IF(Input!H28="Black",1,0))*Input!A28</f>
        <v>0</v>
      </c>
      <c r="G22">
        <f>(IF(Input!C28="Colorless",1,0)+IF(Input!D28="Colorless",1,0)+IF(Input!E28="Colorless",1,0)+IF(Input!F28="Colorless",1,0)+IF(Input!G28="Colorless",1,0)+IF(Input!H28="Colorless",1,0))*Input!A28</f>
        <v>0</v>
      </c>
      <c r="J22">
        <f>(IF(Input!L28="Green",1,0)+IF(Input!M28="Green",1,0)+IF(Input!N28="Green",1,0)+IF(Input!O28="Green",1,0)+IF(Input!P28="Green",1,0))*Input!I28+(IF(Input!U28="Green",1,0)+IF(Input!V28="Green",1,0)+IF(Input!W28="Green",1,0)+IF(Input!X28="Green",1,0)+IF(Input!Y28="Green",1,0))*Input!R28</f>
        <v>0</v>
      </c>
      <c r="K22">
        <f>(IF(Input!L28="Red",1,0)+IF(Input!M28="Red",1,0)+IF(Input!N28="Red",1,0)+IF(Input!O28="Red",1,0)+IF(Input!P28="Red",1,0))*Input!I28+(IF(Input!U28="Red",1,0)+IF(Input!V28="Red",1,0)+IF(Input!W28="Red",1,0)+IF(Input!X28="Red",1,0)+IF(Input!Y28="Red",1,0))*Input!R28</f>
        <v>0</v>
      </c>
      <c r="L22">
        <f>(IF(Input!L28="Blue",1,0)+IF(Input!M28="Blue",1,0)+IF(Input!N28="Blue",1,0)+IF(Input!O28="Blue",1,0)+IF(Input!P28="Blue",1,0))*Input!I28+(IF(Input!U28="Blue",1,0)+IF(Input!V28="Blue",1,0)+IF(Input!W28="Blue",1,0)+IF(Input!X28="Blue",1,0)+IF(Input!Y28="Blue",1,0))*Input!R28</f>
        <v>0</v>
      </c>
      <c r="M22">
        <f>(IF(Input!L28="White",1,0)+IF(Input!M28="White",1,0)+IF(Input!N28="White",1,0)+IF(Input!O28="White",1,0)+IF(Input!P28="White",1,0))*Input!I28+(IF(Input!U28="White",1,0)+IF(Input!V28="White",1,0)+IF(Input!W28="White",1,0)+IF(Input!X28="White",1,0)+IF(Input!Y28="White",1,0))*Input!R28</f>
        <v>0</v>
      </c>
      <c r="N22">
        <f>(IF(Input!L28="Black",1,0)+IF(Input!M28="Black",1,0)+IF(Input!N28="Black",1,0)+IF(Input!O28="Black",1,0)+IF(Input!P28="Black",1,0))*Input!I28+(IF(Input!U28="Black",1,0)+IF(Input!V28="Black",1,0)+IF(Input!W28="Black",1,0)+IF(Input!X28="Black",1,0)+IF(Input!Y28="Black",1,0))*Input!R28</f>
        <v>0</v>
      </c>
      <c r="O22">
        <f>(IF(Input!L28="Colorless",1,0)+IF(Input!M28="Colorless",1,0)+IF(Input!N28="Colorless",1,0)+IF(Input!O28="Colorless",1,0)+IF(Input!P28="Colorless",1,0))*Input!I28+(IF(Input!U28="Colorless",1,0)+IF(Input!V28="Colorless",1,0)+IF(Input!W28="Colorless",1,0)+IF(Input!X28="Colorless",1,0)+IF(Input!Y28="Colorless",1,0))*Input!R28</f>
        <v>0</v>
      </c>
      <c r="Q22">
        <f>(IF(Input!Q28="Sorcery",1,0))*Input!I28+(IF(Input!Z28="Sorcery",1,0))*Input!R28</f>
        <v>0</v>
      </c>
      <c r="R22">
        <f>(IF(Input!Q28="Instant",1,0))*Input!I28+(IF(Input!Z28="Instant",1,0))*Input!R28</f>
        <v>0</v>
      </c>
      <c r="S22">
        <f>(IF(Input!Q28="Artifact",1,0))*Input!I28+(IF(Input!Z28="Artifact",1,0))*Input!R28</f>
        <v>0</v>
      </c>
      <c r="T22">
        <f>(IF(Input!Q28="Enchantment",1,0))*Input!I28+(IF(Input!Z28="Enchantment",1,0))*Input!R28</f>
        <v>0</v>
      </c>
      <c r="U22">
        <f>(IF(Input!Q28="Creature",1,0))*Input!I28+(IF(Input!Z28="Creature",1,0))*Input!R28</f>
        <v>0</v>
      </c>
      <c r="V22">
        <f>(IF(Input!Q28="Planeswalker",1,0))*Input!I28+(IF(Input!Z28="Planeswalker",1,0))*Input!R28</f>
        <v>0</v>
      </c>
      <c r="AF22">
        <f>IF(Input!K28=0,1,0)*Input!I28+IF(Input!T28=0,1,0)*Input!R28</f>
        <v>0</v>
      </c>
      <c r="AG22">
        <f>IF(Input!K28=1,1,0)*Input!I28+IF(Input!T28=1,1,0)*Input!R28</f>
        <v>0</v>
      </c>
      <c r="AH22">
        <f>IF(Input!K28=2,1,0)*Input!I28+IF(Input!T28=2,1,0)*Input!R28</f>
        <v>0</v>
      </c>
      <c r="AI22">
        <f>IF(Input!K28=3,1,0)*Input!I29+IF(Input!T28=3,1,0)*Input!R28</f>
        <v>0</v>
      </c>
      <c r="AJ22">
        <f>IF(Input!K28=4,1,0)*Input!I28+IF(Input!T28=4,1,0)*Input!R28</f>
        <v>0</v>
      </c>
      <c r="AK22">
        <f>IF(Input!K28=5,1,0)*Input!I28+IF(Input!T28=5,1,0)*Input!R28</f>
        <v>0</v>
      </c>
      <c r="AL22">
        <f>IF(Input!K28=6,1,0)*Input!I28+IF(Input!T28=6,1,0)*Input!R28</f>
        <v>0</v>
      </c>
      <c r="AM22">
        <f>IF(Input!K28=7,1,0)*Input!I28+IF(Input!T28=7,1,0)*Input!R28</f>
        <v>0</v>
      </c>
      <c r="AN22">
        <f>IF(Input!K28=8,1,0)*Input!I28+IF(Input!T28=8,1,0)*Input!R28</f>
        <v>0</v>
      </c>
      <c r="AO22">
        <f>IF(Input!K28=9,1,0)*Input!I28+IF(Input!T28=9,1,0)*Input!R28</f>
        <v>0</v>
      </c>
      <c r="AP22">
        <f>IF(Input!K28=10,1,0)*Input!I28+IF(Input!T28=10,1,0)*Input!R28</f>
        <v>0</v>
      </c>
      <c r="AQ22">
        <f>IF(Input!K28=11,1,0)*Input!I28+IF(Input!T28=11,1,0)*Input!R28</f>
        <v>0</v>
      </c>
      <c r="AR22">
        <f>IF(Input!K28=12,1,0)*Input!I28+IF(Input!T28=12,1,0)*Input!R28</f>
        <v>0</v>
      </c>
      <c r="AS22">
        <f>IF(Input!K28=13,1,0)*Input!I28+IF(Input!T28=13,1,0)*Input!R28</f>
        <v>0</v>
      </c>
      <c r="AT22">
        <f>IF(Input!K28=14,1,0)*Input!I28+IF(Input!T28=14,1,0)*Input!R28</f>
        <v>0</v>
      </c>
      <c r="AU22">
        <f>IF(Input!K28=15,1,0)*Input!I28+IF(Input!T28=15,1,0)*Input!R28</f>
        <v>0</v>
      </c>
      <c r="AV22">
        <f>IF(Input!K28=16,1,0)*Input!I28+IF(Input!T28=16,1,0)*Input!R28</f>
        <v>0</v>
      </c>
    </row>
    <row r="23" spans="2:48" x14ac:dyDescent="0.25">
      <c r="B23">
        <f>(IF(Input!C29="Green",1,0)+IF(Input!D29="Green",1,0)+IF(Input!E29="Green",1,0)+IF(Input!F29="Green",1,0)+IF(Input!G29="Green",1,0)+IF(Input!H29="Green",1,0))*Input!A29</f>
        <v>0</v>
      </c>
      <c r="C23">
        <f>(IF(Input!C29="Red",1,0)+IF(Input!D29="Red",1,0)+IF(Input!E29="Red",1,0)+IF(Input!F29="Red",1,0)+IF(Input!G29="Red",1,0)+IF(Input!H29="Red",1,0))*Input!A29</f>
        <v>0</v>
      </c>
      <c r="D23">
        <f>(IF(Input!C29="Blue",1,0)+IF(Input!D29="Blue",1,0)+IF(Input!E29="Blue",1,0)+IF(Input!F29="Blue",1,0)+IF(Input!G29="Blue",1,0)+IF(Input!H29="Blue",1,0))*Input!A29</f>
        <v>0</v>
      </c>
      <c r="E23">
        <f>(IF(Input!C29="White",1,0)+IF(Input!D29="White",1,0)+IF(Input!E29="White",1,0)+IF(Input!F29="White",1,0)+IF(Input!G29="White",1,0)+IF(Input!H29="White",1,0))*Input!A29</f>
        <v>0</v>
      </c>
      <c r="F23">
        <f>(IF(Input!C29="Black",1,0)+IF(Input!D29="Black",1,0)+IF(Input!E29="Black",1,0)+IF(Input!F29="Black",1,0)+IF(Input!G29="Black",1,0)+IF(Input!H29="Black",1,0))*Input!A29</f>
        <v>0</v>
      </c>
      <c r="G23">
        <f>(IF(Input!C29="Colorless",1,0)+IF(Input!D29="Colorless",1,0)+IF(Input!E29="Colorless",1,0)+IF(Input!F29="Colorless",1,0)+IF(Input!G29="Colorless",1,0)+IF(Input!H29="Colorless",1,0))*Input!A29</f>
        <v>0</v>
      </c>
      <c r="J23">
        <f>(IF(Input!L29="Green",1,0)+IF(Input!M29="Green",1,0)+IF(Input!N29="Green",1,0)+IF(Input!O29="Green",1,0)+IF(Input!P29="Green",1,0))*Input!I29+(IF(Input!U29="Green",1,0)+IF(Input!V29="Green",1,0)+IF(Input!W29="Green",1,0)+IF(Input!X29="Green",1,0)+IF(Input!Y29="Green",1,0))*Input!R29</f>
        <v>0</v>
      </c>
      <c r="K23">
        <f>(IF(Input!L29="Red",1,0)+IF(Input!M29="Red",1,0)+IF(Input!N29="Red",1,0)+IF(Input!O29="Red",1,0)+IF(Input!P29="Red",1,0))*Input!I29+(IF(Input!U29="Red",1,0)+IF(Input!V29="Red",1,0)+IF(Input!W29="Red",1,0)+IF(Input!X29="Red",1,0)+IF(Input!Y29="Red",1,0))*Input!R29</f>
        <v>0</v>
      </c>
      <c r="L23">
        <f>(IF(Input!L29="Blue",1,0)+IF(Input!M29="Blue",1,0)+IF(Input!N29="Blue",1,0)+IF(Input!O29="Blue",1,0)+IF(Input!P29="Blue",1,0))*Input!I29+(IF(Input!U29="Blue",1,0)+IF(Input!V29="Blue",1,0)+IF(Input!W29="Blue",1,0)+IF(Input!X29="Blue",1,0)+IF(Input!Y29="Blue",1,0))*Input!R29</f>
        <v>0</v>
      </c>
      <c r="M23">
        <f>(IF(Input!L29="White",1,0)+IF(Input!M29="White",1,0)+IF(Input!N29="White",1,0)+IF(Input!O29="White",1,0)+IF(Input!P29="White",1,0))*Input!I29+(IF(Input!U29="White",1,0)+IF(Input!V29="White",1,0)+IF(Input!W29="White",1,0)+IF(Input!X29="White",1,0)+IF(Input!Y29="White",1,0))*Input!R29</f>
        <v>0</v>
      </c>
      <c r="N23">
        <f>(IF(Input!L29="Black",1,0)+IF(Input!M29="Black",1,0)+IF(Input!N29="Black",1,0)+IF(Input!O29="Black",1,0)+IF(Input!P29="Black",1,0))*Input!I29+(IF(Input!U29="Black",1,0)+IF(Input!V29="Black",1,0)+IF(Input!W29="Black",1,0)+IF(Input!X29="Black",1,0)+IF(Input!Y29="Black",1,0))*Input!R29</f>
        <v>0</v>
      </c>
      <c r="O23">
        <f>(IF(Input!L29="Colorless",1,0)+IF(Input!M29="Colorless",1,0)+IF(Input!N29="Colorless",1,0)+IF(Input!O29="Colorless",1,0)+IF(Input!P29="Colorless",1,0))*Input!I29+(IF(Input!U29="Colorless",1,0)+IF(Input!V29="Colorless",1,0)+IF(Input!W29="Colorless",1,0)+IF(Input!X29="Colorless",1,0)+IF(Input!Y29="Colorless",1,0))*Input!R29</f>
        <v>0</v>
      </c>
      <c r="Q23">
        <f>(IF(Input!Q29="Sorcery",1,0))*Input!I29+(IF(Input!Z29="Sorcery",1,0))*Input!R29</f>
        <v>0</v>
      </c>
      <c r="R23">
        <f>(IF(Input!Q29="Instant",1,0))*Input!I29+(IF(Input!Z29="Instant",1,0))*Input!R29</f>
        <v>0</v>
      </c>
      <c r="S23">
        <f>(IF(Input!Q29="Artifact",1,0))*Input!I29+(IF(Input!Z29="Artifact",1,0))*Input!R29</f>
        <v>0</v>
      </c>
      <c r="T23">
        <f>(IF(Input!Q29="Enchantment",1,0))*Input!I29+(IF(Input!Z29="Enchantment",1,0))*Input!R29</f>
        <v>0</v>
      </c>
      <c r="U23">
        <f>(IF(Input!Q29="Creature",1,0))*Input!I29+(IF(Input!Z29="Creature",1,0))*Input!R29</f>
        <v>0</v>
      </c>
      <c r="V23">
        <f>(IF(Input!Q29="Planeswalker",1,0))*Input!I29+(IF(Input!Z29="Planeswalker",1,0))*Input!R29</f>
        <v>0</v>
      </c>
      <c r="AF23">
        <f>IF(Input!K29=0,1,0)*Input!I29+IF(Input!T29=0,1,0)*Input!R29</f>
        <v>0</v>
      </c>
      <c r="AG23">
        <f>IF(Input!K29=1,1,0)*Input!I29+IF(Input!T29=1,1,0)*Input!R29</f>
        <v>0</v>
      </c>
      <c r="AH23">
        <f>IF(Input!K29=2,1,0)*Input!I29+IF(Input!T29=2,1,0)*Input!R29</f>
        <v>0</v>
      </c>
      <c r="AI23">
        <f>IF(Input!K29=3,1,0)*Input!I30+IF(Input!T29=3,1,0)*Input!R29</f>
        <v>0</v>
      </c>
      <c r="AJ23">
        <f>IF(Input!K29=4,1,0)*Input!I29+IF(Input!T29=4,1,0)*Input!R29</f>
        <v>0</v>
      </c>
      <c r="AK23">
        <f>IF(Input!K29=5,1,0)*Input!I29+IF(Input!T29=5,1,0)*Input!R29</f>
        <v>0</v>
      </c>
      <c r="AL23">
        <f>IF(Input!K29=6,1,0)*Input!I29+IF(Input!T29=6,1,0)*Input!R29</f>
        <v>0</v>
      </c>
      <c r="AM23">
        <f>IF(Input!K29=7,1,0)*Input!I29+IF(Input!T29=7,1,0)*Input!R29</f>
        <v>0</v>
      </c>
      <c r="AN23">
        <f>IF(Input!K29=8,1,0)*Input!I29+IF(Input!T29=8,1,0)*Input!R29</f>
        <v>0</v>
      </c>
      <c r="AO23">
        <f>IF(Input!K29=9,1,0)*Input!I29+IF(Input!T29=9,1,0)*Input!R29</f>
        <v>0</v>
      </c>
      <c r="AP23">
        <f>IF(Input!K29=10,1,0)*Input!I29+IF(Input!T29=10,1,0)*Input!R29</f>
        <v>0</v>
      </c>
      <c r="AQ23">
        <f>IF(Input!K29=11,1,0)*Input!I29+IF(Input!T29=11,1,0)*Input!R29</f>
        <v>0</v>
      </c>
      <c r="AR23">
        <f>IF(Input!K29=12,1,0)*Input!I29+IF(Input!T29=12,1,0)*Input!R29</f>
        <v>0</v>
      </c>
      <c r="AS23">
        <f>IF(Input!K29=13,1,0)*Input!I29+IF(Input!T29=13,1,0)*Input!R29</f>
        <v>0</v>
      </c>
      <c r="AT23">
        <f>IF(Input!K29=14,1,0)*Input!I29+IF(Input!T29=14,1,0)*Input!R29</f>
        <v>0</v>
      </c>
      <c r="AU23">
        <f>IF(Input!K29=15,1,0)*Input!I29+IF(Input!T29=15,1,0)*Input!R29</f>
        <v>0</v>
      </c>
      <c r="AV23">
        <f>IF(Input!K29=16,1,0)*Input!I29+IF(Input!T29=16,1,0)*Input!R29</f>
        <v>0</v>
      </c>
    </row>
    <row r="24" spans="2:48" x14ac:dyDescent="0.25">
      <c r="B24">
        <f>(IF(Input!C30="Green",1,0)+IF(Input!D30="Green",1,0)+IF(Input!E30="Green",1,0)+IF(Input!F30="Green",1,0)+IF(Input!G30="Green",1,0)+IF(Input!H30="Green",1,0))*Input!A30</f>
        <v>0</v>
      </c>
      <c r="C24">
        <f>(IF(Input!C30="Red",1,0)+IF(Input!D30="Red",1,0)+IF(Input!E30="Red",1,0)+IF(Input!F30="Red",1,0)+IF(Input!G30="Red",1,0)+IF(Input!H30="Red",1,0))*Input!A30</f>
        <v>0</v>
      </c>
      <c r="D24">
        <f>(IF(Input!C30="Blue",1,0)+IF(Input!D30="Blue",1,0)+IF(Input!E30="Blue",1,0)+IF(Input!F30="Blue",1,0)+IF(Input!G30="Blue",1,0)+IF(Input!H30="Blue",1,0))*Input!A30</f>
        <v>0</v>
      </c>
      <c r="E24">
        <f>(IF(Input!C30="White",1,0)+IF(Input!D30="White",1,0)+IF(Input!E30="White",1,0)+IF(Input!F30="White",1,0)+IF(Input!G30="White",1,0)+IF(Input!H30="White",1,0))*Input!A30</f>
        <v>0</v>
      </c>
      <c r="F24">
        <f>(IF(Input!C30="Black",1,0)+IF(Input!D30="Black",1,0)+IF(Input!E30="Black",1,0)+IF(Input!F30="Black",1,0)+IF(Input!G30="Black",1,0)+IF(Input!H30="Black",1,0))*Input!A30</f>
        <v>0</v>
      </c>
      <c r="G24">
        <f>(IF(Input!C30="Colorless",1,0)+IF(Input!D30="Colorless",1,0)+IF(Input!E30="Colorless",1,0)+IF(Input!F30="Colorless",1,0)+IF(Input!G30="Colorless",1,0)+IF(Input!H30="Colorless",1,0))*Input!A30</f>
        <v>0</v>
      </c>
      <c r="J24">
        <f>(IF(Input!L30="Green",1,0)+IF(Input!M30="Green",1,0)+IF(Input!N30="Green",1,0)+IF(Input!O30="Green",1,0)+IF(Input!P30="Green",1,0))*Input!I30+(IF(Input!U30="Green",1,0)+IF(Input!V30="Green",1,0)+IF(Input!W30="Green",1,0)+IF(Input!X30="Green",1,0)+IF(Input!Y30="Green",1,0))*Input!R30</f>
        <v>0</v>
      </c>
      <c r="K24">
        <f>(IF(Input!L30="Red",1,0)+IF(Input!M30="Red",1,0)+IF(Input!N30="Red",1,0)+IF(Input!O30="Red",1,0)+IF(Input!P30="Red",1,0))*Input!I30+(IF(Input!U30="Red",1,0)+IF(Input!V30="Red",1,0)+IF(Input!W30="Red",1,0)+IF(Input!X30="Red",1,0)+IF(Input!Y30="Red",1,0))*Input!R30</f>
        <v>0</v>
      </c>
      <c r="L24">
        <f>(IF(Input!L30="Blue",1,0)+IF(Input!M30="Blue",1,0)+IF(Input!N30="Blue",1,0)+IF(Input!O30="Blue",1,0)+IF(Input!P30="Blue",1,0))*Input!I30+(IF(Input!U30="Blue",1,0)+IF(Input!V30="Blue",1,0)+IF(Input!W30="Blue",1,0)+IF(Input!X30="Blue",1,0)+IF(Input!Y30="Blue",1,0))*Input!R30</f>
        <v>0</v>
      </c>
      <c r="M24">
        <f>(IF(Input!L30="White",1,0)+IF(Input!M30="White",1,0)+IF(Input!N30="White",1,0)+IF(Input!O30="White",1,0)+IF(Input!P30="White",1,0))*Input!I30+(IF(Input!U30="White",1,0)+IF(Input!V30="White",1,0)+IF(Input!W30="White",1,0)+IF(Input!X30="White",1,0)+IF(Input!Y30="White",1,0))*Input!R30</f>
        <v>0</v>
      </c>
      <c r="N24">
        <f>(IF(Input!L30="Black",1,0)+IF(Input!M30="Black",1,0)+IF(Input!N30="Black",1,0)+IF(Input!O30="Black",1,0)+IF(Input!P30="Black",1,0))*Input!I30+(IF(Input!U30="Black",1,0)+IF(Input!V30="Black",1,0)+IF(Input!W30="Black",1,0)+IF(Input!X30="Black",1,0)+IF(Input!Y30="Black",1,0))*Input!R30</f>
        <v>0</v>
      </c>
      <c r="O24">
        <f>(IF(Input!L30="Colorless",1,0)+IF(Input!M30="Colorless",1,0)+IF(Input!N30="Colorless",1,0)+IF(Input!O30="Colorless",1,0)+IF(Input!P30="Colorless",1,0))*Input!I30+(IF(Input!U30="Colorless",1,0)+IF(Input!V30="Colorless",1,0)+IF(Input!W30="Colorless",1,0)+IF(Input!X30="Colorless",1,0)+IF(Input!Y30="Colorless",1,0))*Input!R30</f>
        <v>0</v>
      </c>
      <c r="Q24">
        <f>(IF(Input!Q30="Sorcery",1,0))*Input!I30+(IF(Input!Z30="Sorcery",1,0))*Input!R30</f>
        <v>0</v>
      </c>
      <c r="R24">
        <f>(IF(Input!Q30="Instant",1,0))*Input!I30+(IF(Input!Z30="Instant",1,0))*Input!R30</f>
        <v>0</v>
      </c>
      <c r="S24">
        <f>(IF(Input!Q30="Artifact",1,0))*Input!I30+(IF(Input!Z30="Artifact",1,0))*Input!R30</f>
        <v>0</v>
      </c>
      <c r="T24">
        <f>(IF(Input!Q30="Enchantment",1,0))*Input!I30+(IF(Input!Z30="Enchantment",1,0))*Input!R30</f>
        <v>0</v>
      </c>
      <c r="U24">
        <f>(IF(Input!Q30="Creature",1,0))*Input!I30+(IF(Input!Z30="Creature",1,0))*Input!R30</f>
        <v>0</v>
      </c>
      <c r="V24">
        <f>(IF(Input!Q30="Planeswalker",1,0))*Input!I30+(IF(Input!Z30="Planeswalker",1,0))*Input!R30</f>
        <v>0</v>
      </c>
      <c r="AF24">
        <f>IF(Input!K30=0,1,0)*Input!I30+IF(Input!T30=0,1,0)*Input!R30</f>
        <v>0</v>
      </c>
      <c r="AG24">
        <f>IF(Input!K30=1,1,0)*Input!I30+IF(Input!T30=1,1,0)*Input!R30</f>
        <v>0</v>
      </c>
      <c r="AH24">
        <f>IF(Input!K30=2,1,0)*Input!I30+IF(Input!T30=2,1,0)*Input!R30</f>
        <v>0</v>
      </c>
      <c r="AI24">
        <f>IF(Input!K30=3,1,0)*Input!I31+IF(Input!T30=3,1,0)*Input!R30</f>
        <v>0</v>
      </c>
      <c r="AJ24">
        <f>IF(Input!K30=4,1,0)*Input!I30+IF(Input!T30=4,1,0)*Input!R30</f>
        <v>0</v>
      </c>
      <c r="AK24">
        <f>IF(Input!K30=5,1,0)*Input!I30+IF(Input!T30=5,1,0)*Input!R30</f>
        <v>0</v>
      </c>
      <c r="AL24">
        <f>IF(Input!K30=6,1,0)*Input!I30+IF(Input!T30=6,1,0)*Input!R30</f>
        <v>0</v>
      </c>
      <c r="AM24">
        <f>IF(Input!K30=7,1,0)*Input!I30+IF(Input!T30=7,1,0)*Input!R30</f>
        <v>0</v>
      </c>
      <c r="AN24">
        <f>IF(Input!K30=8,1,0)*Input!I30+IF(Input!T30=8,1,0)*Input!R30</f>
        <v>0</v>
      </c>
      <c r="AO24">
        <f>IF(Input!K30=9,1,0)*Input!I30+IF(Input!T30=9,1,0)*Input!R30</f>
        <v>0</v>
      </c>
      <c r="AP24">
        <f>IF(Input!K30=10,1,0)*Input!I30+IF(Input!T30=10,1,0)*Input!R30</f>
        <v>0</v>
      </c>
      <c r="AQ24">
        <f>IF(Input!K30=11,1,0)*Input!I30+IF(Input!T30=11,1,0)*Input!R30</f>
        <v>0</v>
      </c>
      <c r="AR24">
        <f>IF(Input!K30=12,1,0)*Input!I30+IF(Input!T30=12,1,0)*Input!R30</f>
        <v>0</v>
      </c>
      <c r="AS24">
        <f>IF(Input!K30=13,1,0)*Input!I30+IF(Input!T30=13,1,0)*Input!R30</f>
        <v>0</v>
      </c>
      <c r="AT24">
        <f>IF(Input!K30=14,1,0)*Input!I30+IF(Input!T30=14,1,0)*Input!R30</f>
        <v>0</v>
      </c>
      <c r="AU24">
        <f>IF(Input!K30=15,1,0)*Input!I30+IF(Input!T30=15,1,0)*Input!R30</f>
        <v>0</v>
      </c>
      <c r="AV24">
        <f>IF(Input!K30=16,1,0)*Input!I30+IF(Input!T30=16,1,0)*Input!R30</f>
        <v>0</v>
      </c>
    </row>
    <row r="25" spans="2:48" x14ac:dyDescent="0.25">
      <c r="B25">
        <f>(IF(Input!C31="Green",1,0)+IF(Input!D31="Green",1,0)+IF(Input!E31="Green",1,0)+IF(Input!F31="Green",1,0)+IF(Input!G31="Green",1,0)+IF(Input!H31="Green",1,0))*Input!A31</f>
        <v>0</v>
      </c>
      <c r="C25">
        <f>(IF(Input!C31="Red",1,0)+IF(Input!D31="Red",1,0)+IF(Input!E31="Red",1,0)+IF(Input!F31="Red",1,0)+IF(Input!G31="Red",1,0)+IF(Input!H31="Red",1,0))*Input!A31</f>
        <v>0</v>
      </c>
      <c r="D25">
        <f>(IF(Input!C31="Blue",1,0)+IF(Input!D31="Blue",1,0)+IF(Input!E31="Blue",1,0)+IF(Input!F31="Blue",1,0)+IF(Input!G31="Blue",1,0)+IF(Input!H31="Blue",1,0))*Input!A31</f>
        <v>0</v>
      </c>
      <c r="E25">
        <f>(IF(Input!C31="White",1,0)+IF(Input!D31="White",1,0)+IF(Input!E31="White",1,0)+IF(Input!F31="White",1,0)+IF(Input!G31="White",1,0)+IF(Input!H31="White",1,0))*Input!A31</f>
        <v>0</v>
      </c>
      <c r="F25">
        <f>(IF(Input!C31="Black",1,0)+IF(Input!D31="Black",1,0)+IF(Input!E31="Black",1,0)+IF(Input!F31="Black",1,0)+IF(Input!G31="Black",1,0)+IF(Input!H31="Black",1,0))*Input!A31</f>
        <v>0</v>
      </c>
      <c r="G25">
        <f>(IF(Input!C31="Colorless",1,0)+IF(Input!D31="Colorless",1,0)+IF(Input!E31="Colorless",1,0)+IF(Input!F31="Colorless",1,0)+IF(Input!G31="Colorless",1,0)+IF(Input!H31="Colorless",1,0))*Input!A31</f>
        <v>0</v>
      </c>
      <c r="J25">
        <f>(IF(Input!L31="Green",1,0)+IF(Input!M31="Green",1,0)+IF(Input!N31="Green",1,0)+IF(Input!O31="Green",1,0)+IF(Input!P31="Green",1,0))*Input!I31+(IF(Input!U31="Green",1,0)+IF(Input!V31="Green",1,0)+IF(Input!W31="Green",1,0)+IF(Input!X31="Green",1,0)+IF(Input!Y31="Green",1,0))*Input!R31</f>
        <v>0</v>
      </c>
      <c r="K25">
        <f>(IF(Input!L31="Red",1,0)+IF(Input!M31="Red",1,0)+IF(Input!N31="Red",1,0)+IF(Input!O31="Red",1,0)+IF(Input!P31="Red",1,0))*Input!I31+(IF(Input!U31="Red",1,0)+IF(Input!V31="Red",1,0)+IF(Input!W31="Red",1,0)+IF(Input!X31="Red",1,0)+IF(Input!Y31="Red",1,0))*Input!R31</f>
        <v>0</v>
      </c>
      <c r="L25">
        <f>(IF(Input!L31="Blue",1,0)+IF(Input!M31="Blue",1,0)+IF(Input!N31="Blue",1,0)+IF(Input!O31="Blue",1,0)+IF(Input!P31="Blue",1,0))*Input!I31+(IF(Input!U31="Blue",1,0)+IF(Input!V31="Blue",1,0)+IF(Input!W31="Blue",1,0)+IF(Input!X31="Blue",1,0)+IF(Input!Y31="Blue",1,0))*Input!R31</f>
        <v>0</v>
      </c>
      <c r="M25">
        <f>(IF(Input!L31="White",1,0)+IF(Input!M31="White",1,0)+IF(Input!N31="White",1,0)+IF(Input!O31="White",1,0)+IF(Input!P31="White",1,0))*Input!I31+(IF(Input!U31="White",1,0)+IF(Input!V31="White",1,0)+IF(Input!W31="White",1,0)+IF(Input!X31="White",1,0)+IF(Input!Y31="White",1,0))*Input!R31</f>
        <v>0</v>
      </c>
      <c r="N25">
        <f>(IF(Input!L31="Black",1,0)+IF(Input!M31="Black",1,0)+IF(Input!N31="Black",1,0)+IF(Input!O31="Black",1,0)+IF(Input!P31="Black",1,0))*Input!I31+(IF(Input!U31="Black",1,0)+IF(Input!V31="Black",1,0)+IF(Input!W31="Black",1,0)+IF(Input!X31="Black",1,0)+IF(Input!Y31="Black",1,0))*Input!R31</f>
        <v>0</v>
      </c>
      <c r="O25">
        <f>(IF(Input!L31="Colorless",1,0)+IF(Input!M31="Colorless",1,0)+IF(Input!N31="Colorless",1,0)+IF(Input!O31="Colorless",1,0)+IF(Input!P31="Colorless",1,0))*Input!I31+(IF(Input!U31="Colorless",1,0)+IF(Input!V31="Colorless",1,0)+IF(Input!W31="Colorless",1,0)+IF(Input!X31="Colorless",1,0)+IF(Input!Y31="Colorless",1,0))*Input!R31</f>
        <v>0</v>
      </c>
      <c r="Q25">
        <f>(IF(Input!Q31="Sorcery",1,0))*Input!I31+(IF(Input!Z31="Sorcery",1,0))*Input!R31</f>
        <v>0</v>
      </c>
      <c r="R25">
        <f>(IF(Input!Q31="Instant",1,0))*Input!I31+(IF(Input!Z31="Instant",1,0))*Input!R31</f>
        <v>0</v>
      </c>
      <c r="S25">
        <f>(IF(Input!Q31="Artifact",1,0))*Input!I31+(IF(Input!Z31="Artifact",1,0))*Input!R31</f>
        <v>0</v>
      </c>
      <c r="T25">
        <f>(IF(Input!Q31="Enchantment",1,0))*Input!I31+(IF(Input!Z31="Enchantment",1,0))*Input!R31</f>
        <v>0</v>
      </c>
      <c r="U25">
        <f>(IF(Input!Q31="Creature",1,0))*Input!I31+(IF(Input!Z31="Creature",1,0))*Input!R31</f>
        <v>0</v>
      </c>
      <c r="V25">
        <f>(IF(Input!Q31="Planeswalker",1,0))*Input!I31+(IF(Input!Z31="Planeswalker",1,0))*Input!R31</f>
        <v>0</v>
      </c>
      <c r="AF25">
        <f>IF(Input!K31=0,1,0)*Input!I31+IF(Input!T31=0,1,0)*Input!R31</f>
        <v>0</v>
      </c>
      <c r="AG25">
        <f>IF(Input!K31=1,1,0)*Input!I31+IF(Input!T31=1,1,0)*Input!R31</f>
        <v>0</v>
      </c>
      <c r="AH25">
        <f>IF(Input!K31=2,1,0)*Input!I31+IF(Input!T31=2,1,0)*Input!R31</f>
        <v>0</v>
      </c>
      <c r="AI25">
        <f>IF(Input!K31=3,1,0)*Input!I32+IF(Input!T31=3,1,0)*Input!R31</f>
        <v>0</v>
      </c>
      <c r="AJ25">
        <f>IF(Input!K31=4,1,0)*Input!I31+IF(Input!T31=4,1,0)*Input!R31</f>
        <v>0</v>
      </c>
      <c r="AK25">
        <f>IF(Input!K31=5,1,0)*Input!I31+IF(Input!T31=5,1,0)*Input!R31</f>
        <v>0</v>
      </c>
      <c r="AL25">
        <f>IF(Input!K31=6,1,0)*Input!I31+IF(Input!T31=6,1,0)*Input!R31</f>
        <v>0</v>
      </c>
      <c r="AM25">
        <f>IF(Input!K31=7,1,0)*Input!I31+IF(Input!T31=7,1,0)*Input!R31</f>
        <v>0</v>
      </c>
      <c r="AN25">
        <f>IF(Input!K31=8,1,0)*Input!I31+IF(Input!T31=8,1,0)*Input!R31</f>
        <v>0</v>
      </c>
      <c r="AO25">
        <f>IF(Input!K31=9,1,0)*Input!I31+IF(Input!T31=9,1,0)*Input!R31</f>
        <v>0</v>
      </c>
      <c r="AP25">
        <f>IF(Input!K31=10,1,0)*Input!I31+IF(Input!T31=10,1,0)*Input!R31</f>
        <v>0</v>
      </c>
      <c r="AQ25">
        <f>IF(Input!K31=11,1,0)*Input!I31+IF(Input!T31=11,1,0)*Input!R31</f>
        <v>0</v>
      </c>
      <c r="AR25">
        <f>IF(Input!K31=12,1,0)*Input!I31+IF(Input!T31=12,1,0)*Input!R31</f>
        <v>0</v>
      </c>
      <c r="AS25">
        <f>IF(Input!K31=13,1,0)*Input!I31+IF(Input!T31=13,1,0)*Input!R31</f>
        <v>0</v>
      </c>
      <c r="AT25">
        <f>IF(Input!K31=14,1,0)*Input!I31+IF(Input!T31=14,1,0)*Input!R31</f>
        <v>0</v>
      </c>
      <c r="AU25">
        <f>IF(Input!K31=15,1,0)*Input!I31+IF(Input!T31=15,1,0)*Input!R31</f>
        <v>0</v>
      </c>
      <c r="AV25">
        <f>IF(Input!K31=16,1,0)*Input!I31+IF(Input!T31=16,1,0)*Input!R31</f>
        <v>0</v>
      </c>
    </row>
    <row r="26" spans="2:48" x14ac:dyDescent="0.25">
      <c r="B26">
        <f>(IF(Input!C32="Green",1,0)+IF(Input!D32="Green",1,0)+IF(Input!E32="Green",1,0)+IF(Input!F32="Green",1,0)+IF(Input!G32="Green",1,0)+IF(Input!H32="Green",1,0))*Input!A32</f>
        <v>0</v>
      </c>
      <c r="C26">
        <f>(IF(Input!C32="Red",1,0)+IF(Input!D32="Red",1,0)+IF(Input!E32="Red",1,0)+IF(Input!F32="Red",1,0)+IF(Input!G32="Red",1,0)+IF(Input!H32="Red",1,0))*Input!A32</f>
        <v>0</v>
      </c>
      <c r="D26">
        <f>(IF(Input!C32="Blue",1,0)+IF(Input!D32="Blue",1,0)+IF(Input!E32="Blue",1,0)+IF(Input!F32="Blue",1,0)+IF(Input!G32="Blue",1,0)+IF(Input!H32="Blue",1,0))*Input!A32</f>
        <v>0</v>
      </c>
      <c r="E26">
        <f>(IF(Input!C32="White",1,0)+IF(Input!D32="White",1,0)+IF(Input!E32="White",1,0)+IF(Input!F32="White",1,0)+IF(Input!G32="White",1,0)+IF(Input!H32="White",1,0))*Input!A32</f>
        <v>0</v>
      </c>
      <c r="F26">
        <f>(IF(Input!C32="Black",1,0)+IF(Input!D32="Black",1,0)+IF(Input!E32="Black",1,0)+IF(Input!F32="Black",1,0)+IF(Input!G32="Black",1,0)+IF(Input!H32="Black",1,0))*Input!A32</f>
        <v>0</v>
      </c>
      <c r="G26">
        <f>(IF(Input!C32="Colorless",1,0)+IF(Input!D32="Colorless",1,0)+IF(Input!E32="Colorless",1,0)+IF(Input!F32="Colorless",1,0)+IF(Input!G32="Colorless",1,0)+IF(Input!H32="Colorless",1,0))*Input!A32</f>
        <v>0</v>
      </c>
      <c r="J26">
        <f>(IF(Input!L32="Green",1,0)+IF(Input!M32="Green",1,0)+IF(Input!N32="Green",1,0)+IF(Input!O32="Green",1,0)+IF(Input!P32="Green",1,0))*Input!I32+(IF(Input!U32="Green",1,0)+IF(Input!V32="Green",1,0)+IF(Input!W32="Green",1,0)+IF(Input!X32="Green",1,0)+IF(Input!Y32="Green",1,0))*Input!R32</f>
        <v>0</v>
      </c>
      <c r="K26">
        <f>(IF(Input!L32="Red",1,0)+IF(Input!M32="Red",1,0)+IF(Input!N32="Red",1,0)+IF(Input!O32="Red",1,0)+IF(Input!P32="Red",1,0))*Input!I32+(IF(Input!U32="Red",1,0)+IF(Input!V32="Red",1,0)+IF(Input!W32="Red",1,0)+IF(Input!X32="Red",1,0)+IF(Input!Y32="Red",1,0))*Input!R32</f>
        <v>0</v>
      </c>
      <c r="L26">
        <f>(IF(Input!L32="Blue",1,0)+IF(Input!M32="Blue",1,0)+IF(Input!N32="Blue",1,0)+IF(Input!O32="Blue",1,0)+IF(Input!P32="Blue",1,0))*Input!I32+(IF(Input!U32="Blue",1,0)+IF(Input!V32="Blue",1,0)+IF(Input!W32="Blue",1,0)+IF(Input!X32="Blue",1,0)+IF(Input!Y32="Blue",1,0))*Input!R32</f>
        <v>0</v>
      </c>
      <c r="M26">
        <f>(IF(Input!L32="White",1,0)+IF(Input!M32="White",1,0)+IF(Input!N32="White",1,0)+IF(Input!O32="White",1,0)+IF(Input!P32="White",1,0))*Input!I32+(IF(Input!U32="White",1,0)+IF(Input!V32="White",1,0)+IF(Input!W32="White",1,0)+IF(Input!X32="White",1,0)+IF(Input!Y32="White",1,0))*Input!R32</f>
        <v>0</v>
      </c>
      <c r="N26">
        <f>(IF(Input!L32="Black",1,0)+IF(Input!M32="Black",1,0)+IF(Input!N32="Black",1,0)+IF(Input!O32="Black",1,0)+IF(Input!P32="Black",1,0))*Input!I32+(IF(Input!U32="Black",1,0)+IF(Input!V32="Black",1,0)+IF(Input!W32="Black",1,0)+IF(Input!X32="Black",1,0)+IF(Input!Y32="Black",1,0))*Input!R32</f>
        <v>0</v>
      </c>
      <c r="O26">
        <f>(IF(Input!L32="Colorless",1,0)+IF(Input!M32="Colorless",1,0)+IF(Input!N32="Colorless",1,0)+IF(Input!O32="Colorless",1,0)+IF(Input!P32="Colorless",1,0))*Input!I32+(IF(Input!U32="Colorless",1,0)+IF(Input!V32="Colorless",1,0)+IF(Input!W32="Colorless",1,0)+IF(Input!X32="Colorless",1,0)+IF(Input!Y32="Colorless",1,0))*Input!R32</f>
        <v>0</v>
      </c>
      <c r="Q26">
        <f>(IF(Input!Q32="Sorcery",1,0))*Input!I32+(IF(Input!Z32="Sorcery",1,0))*Input!R32</f>
        <v>0</v>
      </c>
      <c r="R26">
        <f>(IF(Input!Q32="Instant",1,0))*Input!I32+(IF(Input!Z32="Instant",1,0))*Input!R32</f>
        <v>0</v>
      </c>
      <c r="S26">
        <f>(IF(Input!Q32="Artifact",1,0))*Input!I32+(IF(Input!Z32="Artifact",1,0))*Input!R32</f>
        <v>0</v>
      </c>
      <c r="T26">
        <f>(IF(Input!Q32="Enchantment",1,0))*Input!I32+(IF(Input!Z32="Enchantment",1,0))*Input!R32</f>
        <v>0</v>
      </c>
      <c r="U26">
        <f>(IF(Input!Q32="Creature",1,0))*Input!I32+(IF(Input!Z32="Creature",1,0))*Input!R32</f>
        <v>0</v>
      </c>
      <c r="V26">
        <f>(IF(Input!Q32="Planeswalker",1,0))*Input!I32+(IF(Input!Z32="Planeswalker",1,0))*Input!R32</f>
        <v>0</v>
      </c>
      <c r="AF26">
        <f>IF(Input!K32=0,1,0)*Input!I32+IF(Input!T32=0,1,0)*Input!R32</f>
        <v>0</v>
      </c>
      <c r="AG26">
        <f>IF(Input!K32=1,1,0)*Input!I32+IF(Input!T32=1,1,0)*Input!R32</f>
        <v>0</v>
      </c>
      <c r="AH26">
        <f>IF(Input!K32=2,1,0)*Input!I32+IF(Input!T32=2,1,0)*Input!R32</f>
        <v>0</v>
      </c>
      <c r="AI26">
        <f>IF(Input!K32=3,1,0)*Input!I33+IF(Input!T32=3,1,0)*Input!R32</f>
        <v>0</v>
      </c>
      <c r="AJ26">
        <f>IF(Input!K32=4,1,0)*Input!I32+IF(Input!T32=4,1,0)*Input!R32</f>
        <v>0</v>
      </c>
      <c r="AK26">
        <f>IF(Input!K32=5,1,0)*Input!I32+IF(Input!T32=5,1,0)*Input!R32</f>
        <v>0</v>
      </c>
      <c r="AL26">
        <f>IF(Input!K32=6,1,0)*Input!I32+IF(Input!T32=6,1,0)*Input!R32</f>
        <v>0</v>
      </c>
      <c r="AM26">
        <f>IF(Input!K32=7,1,0)*Input!I32+IF(Input!T32=7,1,0)*Input!R32</f>
        <v>0</v>
      </c>
      <c r="AN26">
        <f>IF(Input!K32=8,1,0)*Input!I32+IF(Input!T32=8,1,0)*Input!R32</f>
        <v>0</v>
      </c>
      <c r="AO26">
        <f>IF(Input!K32=9,1,0)*Input!I32+IF(Input!T32=9,1,0)*Input!R32</f>
        <v>0</v>
      </c>
      <c r="AP26">
        <f>IF(Input!K32=10,1,0)*Input!I32+IF(Input!T32=10,1,0)*Input!R32</f>
        <v>0</v>
      </c>
      <c r="AQ26">
        <f>IF(Input!K32=11,1,0)*Input!I32+IF(Input!T32=11,1,0)*Input!R32</f>
        <v>0</v>
      </c>
      <c r="AR26">
        <f>IF(Input!K32=12,1,0)*Input!I32+IF(Input!T32=12,1,0)*Input!R32</f>
        <v>0</v>
      </c>
      <c r="AS26">
        <f>IF(Input!K32=13,1,0)*Input!I32+IF(Input!T32=13,1,0)*Input!R32</f>
        <v>0</v>
      </c>
      <c r="AT26">
        <f>IF(Input!K32=14,1,0)*Input!I32+IF(Input!T32=14,1,0)*Input!R32</f>
        <v>0</v>
      </c>
      <c r="AU26">
        <f>IF(Input!K32=15,1,0)*Input!I32+IF(Input!T32=15,1,0)*Input!R32</f>
        <v>0</v>
      </c>
      <c r="AV26">
        <f>IF(Input!K32=16,1,0)*Input!I32+IF(Input!T32=16,1,0)*Input!R32</f>
        <v>0</v>
      </c>
    </row>
    <row r="27" spans="2:48" x14ac:dyDescent="0.25">
      <c r="B27">
        <f>(IF(Input!C33="Green",1,0)+IF(Input!D33="Green",1,0)+IF(Input!E33="Green",1,0)+IF(Input!F33="Green",1,0)+IF(Input!G33="Green",1,0)+IF(Input!H33="Green",1,0))*Input!A33</f>
        <v>0</v>
      </c>
      <c r="C27">
        <f>(IF(Input!C33="Red",1,0)+IF(Input!D33="Red",1,0)+IF(Input!E33="Red",1,0)+IF(Input!F33="Red",1,0)+IF(Input!G33="Red",1,0)+IF(Input!H33="Red",1,0))*Input!A33</f>
        <v>0</v>
      </c>
      <c r="D27">
        <f>(IF(Input!C33="Blue",1,0)+IF(Input!D33="Blue",1,0)+IF(Input!E33="Blue",1,0)+IF(Input!F33="Blue",1,0)+IF(Input!G33="Blue",1,0)+IF(Input!H33="Blue",1,0))*Input!A33</f>
        <v>0</v>
      </c>
      <c r="E27">
        <f>(IF(Input!C33="White",1,0)+IF(Input!D33="White",1,0)+IF(Input!E33="White",1,0)+IF(Input!F33="White",1,0)+IF(Input!G33="White",1,0)+IF(Input!H33="White",1,0))*Input!A33</f>
        <v>0</v>
      </c>
      <c r="F27">
        <f>(IF(Input!C33="Black",1,0)+IF(Input!D33="Black",1,0)+IF(Input!E33="Black",1,0)+IF(Input!F33="Black",1,0)+IF(Input!G33="Black",1,0)+IF(Input!H33="Black",1,0))*Input!A33</f>
        <v>0</v>
      </c>
      <c r="G27">
        <f>(IF(Input!C33="Colorless",1,0)+IF(Input!D33="Colorless",1,0)+IF(Input!E33="Colorless",1,0)+IF(Input!F33="Colorless",1,0)+IF(Input!G33="Colorless",1,0)+IF(Input!H33="Colorless",1,0))*Input!A33</f>
        <v>0</v>
      </c>
      <c r="J27">
        <f>(IF(Input!L33="Green",1,0)+IF(Input!M33="Green",1,0)+IF(Input!N33="Green",1,0)+IF(Input!O33="Green",1,0)+IF(Input!P33="Green",1,0))*Input!I33+(IF(Input!U33="Green",1,0)+IF(Input!V33="Green",1,0)+IF(Input!W33="Green",1,0)+IF(Input!X33="Green",1,0)+IF(Input!Y33="Green",1,0))*Input!R33</f>
        <v>0</v>
      </c>
      <c r="K27">
        <f>(IF(Input!L33="Red",1,0)+IF(Input!M33="Red",1,0)+IF(Input!N33="Red",1,0)+IF(Input!O33="Red",1,0)+IF(Input!P33="Red",1,0))*Input!I33+(IF(Input!U33="Red",1,0)+IF(Input!V33="Red",1,0)+IF(Input!W33="Red",1,0)+IF(Input!X33="Red",1,0)+IF(Input!Y33="Red",1,0))*Input!R33</f>
        <v>0</v>
      </c>
      <c r="L27">
        <f>(IF(Input!L33="Blue",1,0)+IF(Input!M33="Blue",1,0)+IF(Input!N33="Blue",1,0)+IF(Input!O33="Blue",1,0)+IF(Input!P33="Blue",1,0))*Input!I33+(IF(Input!U33="Blue",1,0)+IF(Input!V33="Blue",1,0)+IF(Input!W33="Blue",1,0)+IF(Input!X33="Blue",1,0)+IF(Input!Y33="Blue",1,0))*Input!R33</f>
        <v>0</v>
      </c>
      <c r="M27">
        <f>(IF(Input!L33="White",1,0)+IF(Input!M33="White",1,0)+IF(Input!N33="White",1,0)+IF(Input!O33="White",1,0)+IF(Input!P33="White",1,0))*Input!I33+(IF(Input!U33="White",1,0)+IF(Input!V33="White",1,0)+IF(Input!W33="White",1,0)+IF(Input!X33="White",1,0)+IF(Input!Y33="White",1,0))*Input!R33</f>
        <v>0</v>
      </c>
      <c r="N27">
        <f>(IF(Input!L33="Black",1,0)+IF(Input!M33="Black",1,0)+IF(Input!N33="Black",1,0)+IF(Input!O33="Black",1,0)+IF(Input!P33="Black",1,0))*Input!I33+(IF(Input!U33="Black",1,0)+IF(Input!V33="Black",1,0)+IF(Input!W33="Black",1,0)+IF(Input!X33="Black",1,0)+IF(Input!Y33="Black",1,0))*Input!R33</f>
        <v>0</v>
      </c>
      <c r="O27">
        <f>(IF(Input!L33="Colorless",1,0)+IF(Input!M33="Colorless",1,0)+IF(Input!N33="Colorless",1,0)+IF(Input!O33="Colorless",1,0)+IF(Input!P33="Colorless",1,0))*Input!I33+(IF(Input!U33="Colorless",1,0)+IF(Input!V33="Colorless",1,0)+IF(Input!W33="Colorless",1,0)+IF(Input!X33="Colorless",1,0)+IF(Input!Y33="Colorless",1,0))*Input!R33</f>
        <v>0</v>
      </c>
      <c r="Q27">
        <f>(IF(Input!Q33="Sorcery",1,0))*Input!I33+(IF(Input!Z33="Sorcery",1,0))*Input!R33</f>
        <v>0</v>
      </c>
      <c r="R27">
        <f>(IF(Input!Q33="Instant",1,0))*Input!I33+(IF(Input!Z33="Instant",1,0))*Input!R33</f>
        <v>0</v>
      </c>
      <c r="S27">
        <f>(IF(Input!Q33="Artifact",1,0))*Input!I33+(IF(Input!Z33="Artifact",1,0))*Input!R33</f>
        <v>0</v>
      </c>
      <c r="T27">
        <f>(IF(Input!Q33="Enchantment",1,0))*Input!I33+(IF(Input!Z33="Enchantment",1,0))*Input!R33</f>
        <v>0</v>
      </c>
      <c r="U27">
        <f>(IF(Input!Q33="Creature",1,0))*Input!I33+(IF(Input!Z33="Creature",1,0))*Input!R33</f>
        <v>0</v>
      </c>
      <c r="V27">
        <f>(IF(Input!Q33="Planeswalker",1,0))*Input!I33+(IF(Input!Z33="Planeswalker",1,0))*Input!R33</f>
        <v>0</v>
      </c>
      <c r="AF27">
        <f>IF(Input!K33=0,1,0)*Input!I33+IF(Input!T33=0,1,0)*Input!R33</f>
        <v>0</v>
      </c>
      <c r="AG27">
        <f>IF(Input!K33=1,1,0)*Input!I33+IF(Input!T33=1,1,0)*Input!R33</f>
        <v>0</v>
      </c>
      <c r="AH27">
        <f>IF(Input!K33=2,1,0)*Input!I33+IF(Input!T33=2,1,0)*Input!R33</f>
        <v>0</v>
      </c>
      <c r="AI27">
        <f>IF(Input!K33=3,1,0)*Input!I34+IF(Input!T33=3,1,0)*Input!R33</f>
        <v>0</v>
      </c>
      <c r="AJ27">
        <f>IF(Input!K33=4,1,0)*Input!I33+IF(Input!T33=4,1,0)*Input!R33</f>
        <v>0</v>
      </c>
      <c r="AK27">
        <f>IF(Input!K33=5,1,0)*Input!I33+IF(Input!T33=5,1,0)*Input!R33</f>
        <v>0</v>
      </c>
      <c r="AL27">
        <f>IF(Input!K33=6,1,0)*Input!I33+IF(Input!T33=6,1,0)*Input!R33</f>
        <v>0</v>
      </c>
      <c r="AM27">
        <f>IF(Input!K33=7,1,0)*Input!I33+IF(Input!T33=7,1,0)*Input!R33</f>
        <v>0</v>
      </c>
      <c r="AN27">
        <f>IF(Input!K33=8,1,0)*Input!I33+IF(Input!T33=8,1,0)*Input!R33</f>
        <v>0</v>
      </c>
      <c r="AO27">
        <f>IF(Input!K33=9,1,0)*Input!I33+IF(Input!T33=9,1,0)*Input!R33</f>
        <v>0</v>
      </c>
      <c r="AP27">
        <f>IF(Input!K33=10,1,0)*Input!I33+IF(Input!T33=10,1,0)*Input!R33</f>
        <v>0</v>
      </c>
      <c r="AQ27">
        <f>IF(Input!K33=11,1,0)*Input!I33+IF(Input!T33=11,1,0)*Input!R33</f>
        <v>0</v>
      </c>
      <c r="AR27">
        <f>IF(Input!K33=12,1,0)*Input!I33+IF(Input!T33=12,1,0)*Input!R33</f>
        <v>0</v>
      </c>
      <c r="AS27">
        <f>IF(Input!K33=13,1,0)*Input!I33+IF(Input!T33=13,1,0)*Input!R33</f>
        <v>0</v>
      </c>
      <c r="AT27">
        <f>IF(Input!K33=14,1,0)*Input!I33+IF(Input!T33=14,1,0)*Input!R33</f>
        <v>0</v>
      </c>
      <c r="AU27">
        <f>IF(Input!K33=15,1,0)*Input!I33+IF(Input!T33=15,1,0)*Input!R33</f>
        <v>0</v>
      </c>
      <c r="AV27">
        <f>IF(Input!K33=16,1,0)*Input!I33+IF(Input!T33=16,1,0)*Input!R33</f>
        <v>0</v>
      </c>
    </row>
    <row r="28" spans="2:48" x14ac:dyDescent="0.25">
      <c r="B28">
        <f>(IF(Input!C34="Green",1,0)+IF(Input!D34="Green",1,0)+IF(Input!E34="Green",1,0)+IF(Input!F34="Green",1,0)+IF(Input!G34="Green",1,0)+IF(Input!H34="Green",1,0))*Input!A34</f>
        <v>0</v>
      </c>
      <c r="C28">
        <f>(IF(Input!C34="Red",1,0)+IF(Input!D34="Red",1,0)+IF(Input!E34="Red",1,0)+IF(Input!F34="Red",1,0)+IF(Input!G34="Red",1,0)+IF(Input!H34="Red",1,0))*Input!A34</f>
        <v>0</v>
      </c>
      <c r="D28">
        <f>(IF(Input!C34="Blue",1,0)+IF(Input!D34="Blue",1,0)+IF(Input!E34="Blue",1,0)+IF(Input!F34="Blue",1,0)+IF(Input!G34="Blue",1,0)+IF(Input!H34="Blue",1,0))*Input!A34</f>
        <v>0</v>
      </c>
      <c r="E28">
        <f>(IF(Input!C34="White",1,0)+IF(Input!D34="White",1,0)+IF(Input!E34="White",1,0)+IF(Input!F34="White",1,0)+IF(Input!G34="White",1,0)+IF(Input!H34="White",1,0))*Input!A34</f>
        <v>0</v>
      </c>
      <c r="F28">
        <f>(IF(Input!C34="Black",1,0)+IF(Input!D34="Black",1,0)+IF(Input!E34="Black",1,0)+IF(Input!F34="Black",1,0)+IF(Input!G34="Black",1,0)+IF(Input!H34="Black",1,0))*Input!A34</f>
        <v>0</v>
      </c>
      <c r="G28">
        <f>(IF(Input!C34="Colorless",1,0)+IF(Input!D34="Colorless",1,0)+IF(Input!E34="Colorless",1,0)+IF(Input!F34="Colorless",1,0)+IF(Input!G34="Colorless",1,0)+IF(Input!H34="Colorless",1,0))*Input!A34</f>
        <v>0</v>
      </c>
      <c r="J28">
        <f>(IF(Input!L34="Green",1,0)+IF(Input!M34="Green",1,0)+IF(Input!N34="Green",1,0)+IF(Input!O34="Green",1,0)+IF(Input!P34="Green",1,0))*Input!I34+(IF(Input!U34="Green",1,0)+IF(Input!V34="Green",1,0)+IF(Input!W34="Green",1,0)+IF(Input!X34="Green",1,0)+IF(Input!Y34="Green",1,0))*Input!R34</f>
        <v>0</v>
      </c>
      <c r="K28">
        <f>(IF(Input!L34="Red",1,0)+IF(Input!M34="Red",1,0)+IF(Input!N34="Red",1,0)+IF(Input!O34="Red",1,0)+IF(Input!P34="Red",1,0))*Input!I34+(IF(Input!U34="Red",1,0)+IF(Input!V34="Red",1,0)+IF(Input!W34="Red",1,0)+IF(Input!X34="Red",1,0)+IF(Input!Y34="Red",1,0))*Input!R34</f>
        <v>0</v>
      </c>
      <c r="L28">
        <f>(IF(Input!L34="Blue",1,0)+IF(Input!M34="Blue",1,0)+IF(Input!N34="Blue",1,0)+IF(Input!O34="Blue",1,0)+IF(Input!P34="Blue",1,0))*Input!I34+(IF(Input!U34="Blue",1,0)+IF(Input!V34="Blue",1,0)+IF(Input!W34="Blue",1,0)+IF(Input!X34="Blue",1,0)+IF(Input!Y34="Blue",1,0))*Input!R34</f>
        <v>0</v>
      </c>
      <c r="M28">
        <f>(IF(Input!L34="White",1,0)+IF(Input!M34="White",1,0)+IF(Input!N34="White",1,0)+IF(Input!O34="White",1,0)+IF(Input!P34="White",1,0))*Input!I34+(IF(Input!U34="White",1,0)+IF(Input!V34="White",1,0)+IF(Input!W34="White",1,0)+IF(Input!X34="White",1,0)+IF(Input!Y34="White",1,0))*Input!R34</f>
        <v>0</v>
      </c>
      <c r="N28">
        <f>(IF(Input!L34="Black",1,0)+IF(Input!M34="Black",1,0)+IF(Input!N34="Black",1,0)+IF(Input!O34="Black",1,0)+IF(Input!P34="Black",1,0))*Input!I34+(IF(Input!U34="Black",1,0)+IF(Input!V34="Black",1,0)+IF(Input!W34="Black",1,0)+IF(Input!X34="Black",1,0)+IF(Input!Y34="Black",1,0))*Input!R34</f>
        <v>0</v>
      </c>
      <c r="O28">
        <f>(IF(Input!L34="Colorless",1,0)+IF(Input!M34="Colorless",1,0)+IF(Input!N34="Colorless",1,0)+IF(Input!O34="Colorless",1,0)+IF(Input!P34="Colorless",1,0))*Input!I34+(IF(Input!U34="Colorless",1,0)+IF(Input!V34="Colorless",1,0)+IF(Input!W34="Colorless",1,0)+IF(Input!X34="Colorless",1,0)+IF(Input!Y34="Colorless",1,0))*Input!R34</f>
        <v>0</v>
      </c>
      <c r="Q28">
        <f>(IF(Input!Q34="Sorcery",1,0))*Input!I34+(IF(Input!Z34="Sorcery",1,0))*Input!R34</f>
        <v>0</v>
      </c>
      <c r="R28">
        <f>(IF(Input!Q34="Instant",1,0))*Input!I34+(IF(Input!Z34="Instant",1,0))*Input!R34</f>
        <v>0</v>
      </c>
      <c r="S28">
        <f>(IF(Input!Q34="Artifact",1,0))*Input!I34+(IF(Input!Z34="Artifact",1,0))*Input!R34</f>
        <v>0</v>
      </c>
      <c r="T28">
        <f>(IF(Input!Q34="Enchantment",1,0))*Input!I34+(IF(Input!Z34="Enchantment",1,0))*Input!R34</f>
        <v>0</v>
      </c>
      <c r="U28">
        <f>(IF(Input!Q34="Creature",1,0))*Input!I34+(IF(Input!Z34="Creature",1,0))*Input!R34</f>
        <v>0</v>
      </c>
      <c r="V28">
        <f>(IF(Input!Q34="Planeswalker",1,0))*Input!I34+(IF(Input!Z34="Planeswalker",1,0))*Input!R34</f>
        <v>0</v>
      </c>
      <c r="AF28">
        <f>IF(Input!K34=0,1,0)*Input!I34+IF(Input!T34=0,1,0)*Input!R34</f>
        <v>0</v>
      </c>
      <c r="AG28">
        <f>IF(Input!K34=1,1,0)*Input!I34+IF(Input!T34=1,1,0)*Input!R34</f>
        <v>0</v>
      </c>
      <c r="AH28">
        <f>IF(Input!K34=2,1,0)*Input!I34+IF(Input!T34=2,1,0)*Input!R34</f>
        <v>0</v>
      </c>
      <c r="AI28">
        <f>IF(Input!K34=3,1,0)*Input!I35+IF(Input!T34=3,1,0)*Input!R34</f>
        <v>0</v>
      </c>
      <c r="AJ28">
        <f>IF(Input!K34=4,1,0)*Input!I34+IF(Input!T34=4,1,0)*Input!R34</f>
        <v>0</v>
      </c>
      <c r="AK28">
        <f>IF(Input!K34=5,1,0)*Input!I34+IF(Input!T34=5,1,0)*Input!R34</f>
        <v>0</v>
      </c>
      <c r="AL28">
        <f>IF(Input!K34=6,1,0)*Input!I34+IF(Input!T34=6,1,0)*Input!R34</f>
        <v>0</v>
      </c>
      <c r="AM28">
        <f>IF(Input!K34=7,1,0)*Input!I34+IF(Input!T34=7,1,0)*Input!R34</f>
        <v>0</v>
      </c>
      <c r="AN28">
        <f>IF(Input!K34=8,1,0)*Input!I34+IF(Input!T34=8,1,0)*Input!R34</f>
        <v>0</v>
      </c>
      <c r="AO28">
        <f>IF(Input!K34=9,1,0)*Input!I34+IF(Input!T34=9,1,0)*Input!R34</f>
        <v>0</v>
      </c>
      <c r="AP28">
        <f>IF(Input!K34=10,1,0)*Input!I34+IF(Input!T34=10,1,0)*Input!R34</f>
        <v>0</v>
      </c>
      <c r="AQ28">
        <f>IF(Input!K34=11,1,0)*Input!I34+IF(Input!T34=11,1,0)*Input!R34</f>
        <v>0</v>
      </c>
      <c r="AR28">
        <f>IF(Input!K34=12,1,0)*Input!I34+IF(Input!T34=12,1,0)*Input!R34</f>
        <v>0</v>
      </c>
      <c r="AS28">
        <f>IF(Input!K34=13,1,0)*Input!I34+IF(Input!T34=13,1,0)*Input!R34</f>
        <v>0</v>
      </c>
      <c r="AT28">
        <f>IF(Input!K34=14,1,0)*Input!I34+IF(Input!T34=14,1,0)*Input!R34</f>
        <v>0</v>
      </c>
      <c r="AU28">
        <f>IF(Input!K34=15,1,0)*Input!I34+IF(Input!T34=15,1,0)*Input!R34</f>
        <v>0</v>
      </c>
      <c r="AV28">
        <f>IF(Input!K34=16,1,0)*Input!I34+IF(Input!T34=16,1,0)*Input!R34</f>
        <v>0</v>
      </c>
    </row>
    <row r="29" spans="2:48" x14ac:dyDescent="0.25">
      <c r="B29">
        <f>(IF(Input!C35="Green",1,0)+IF(Input!D35="Green",1,0)+IF(Input!E35="Green",1,0)+IF(Input!F35="Green",1,0)+IF(Input!G35="Green",1,0)+IF(Input!H35="Green",1,0))*Input!A35</f>
        <v>0</v>
      </c>
      <c r="C29">
        <f>(IF(Input!C35="Red",1,0)+IF(Input!D35="Red",1,0)+IF(Input!E35="Red",1,0)+IF(Input!F35="Red",1,0)+IF(Input!G35="Red",1,0)+IF(Input!H35="Red",1,0))*Input!A35</f>
        <v>0</v>
      </c>
      <c r="D29">
        <f>(IF(Input!C35="Blue",1,0)+IF(Input!D35="Blue",1,0)+IF(Input!E35="Blue",1,0)+IF(Input!F35="Blue",1,0)+IF(Input!G35="Blue",1,0)+IF(Input!H35="Blue",1,0))*Input!A35</f>
        <v>0</v>
      </c>
      <c r="E29">
        <f>(IF(Input!C35="White",1,0)+IF(Input!D35="White",1,0)+IF(Input!E35="White",1,0)+IF(Input!F35="White",1,0)+IF(Input!G35="White",1,0)+IF(Input!H35="White",1,0))*Input!A35</f>
        <v>0</v>
      </c>
      <c r="F29">
        <f>(IF(Input!C35="Black",1,0)+IF(Input!D35="Black",1,0)+IF(Input!E35="Black",1,0)+IF(Input!F35="Black",1,0)+IF(Input!G35="Black",1,0)+IF(Input!H35="Black",1,0))*Input!A35</f>
        <v>0</v>
      </c>
      <c r="G29">
        <f>(IF(Input!C35="Colorless",1,0)+IF(Input!D35="Colorless",1,0)+IF(Input!E35="Colorless",1,0)+IF(Input!F35="Colorless",1,0)+IF(Input!G35="Colorless",1,0)+IF(Input!H35="Colorless",1,0))*Input!A35</f>
        <v>0</v>
      </c>
      <c r="J29">
        <f>(IF(Input!L35="Green",1,0)+IF(Input!M35="Green",1,0)+IF(Input!N35="Green",1,0)+IF(Input!O35="Green",1,0)+IF(Input!P35="Green",1,0))*Input!I35+(IF(Input!U35="Green",1,0)+IF(Input!V35="Green",1,0)+IF(Input!W35="Green",1,0)+IF(Input!X35="Green",1,0)+IF(Input!Y35="Green",1,0))*Input!R35</f>
        <v>0</v>
      </c>
      <c r="K29">
        <f>(IF(Input!L35="Red",1,0)+IF(Input!M35="Red",1,0)+IF(Input!N35="Red",1,0)+IF(Input!O35="Red",1,0)+IF(Input!P35="Red",1,0))*Input!I35+(IF(Input!U35="Red",1,0)+IF(Input!V35="Red",1,0)+IF(Input!W35="Red",1,0)+IF(Input!X35="Red",1,0)+IF(Input!Y35="Red",1,0))*Input!R35</f>
        <v>0</v>
      </c>
      <c r="L29">
        <f>(IF(Input!L35="Blue",1,0)+IF(Input!M35="Blue",1,0)+IF(Input!N35="Blue",1,0)+IF(Input!O35="Blue",1,0)+IF(Input!P35="Blue",1,0))*Input!I35+(IF(Input!U35="Blue",1,0)+IF(Input!V35="Blue",1,0)+IF(Input!W35="Blue",1,0)+IF(Input!X35="Blue",1,0)+IF(Input!Y35="Blue",1,0))*Input!R35</f>
        <v>0</v>
      </c>
      <c r="M29">
        <f>(IF(Input!L35="White",1,0)+IF(Input!M35="White",1,0)+IF(Input!N35="White",1,0)+IF(Input!O35="White",1,0)+IF(Input!P35="White",1,0))*Input!I35+(IF(Input!U35="White",1,0)+IF(Input!V35="White",1,0)+IF(Input!W35="White",1,0)+IF(Input!X35="White",1,0)+IF(Input!Y35="White",1,0))*Input!R35</f>
        <v>0</v>
      </c>
      <c r="N29">
        <f>(IF(Input!L35="Black",1,0)+IF(Input!M35="Black",1,0)+IF(Input!N35="Black",1,0)+IF(Input!O35="Black",1,0)+IF(Input!P35="Black",1,0))*Input!I35+(IF(Input!U35="Black",1,0)+IF(Input!V35="Black",1,0)+IF(Input!W35="Black",1,0)+IF(Input!X35="Black",1,0)+IF(Input!Y35="Black",1,0))*Input!R35</f>
        <v>0</v>
      </c>
      <c r="O29">
        <f>(IF(Input!L35="Colorless",1,0)+IF(Input!M35="Colorless",1,0)+IF(Input!N35="Colorless",1,0)+IF(Input!O35="Colorless",1,0)+IF(Input!P35="Colorless",1,0))*Input!I35+(IF(Input!U35="Colorless",1,0)+IF(Input!V35="Colorless",1,0)+IF(Input!W35="Colorless",1,0)+IF(Input!X35="Colorless",1,0)+IF(Input!Y35="Colorless",1,0))*Input!R35</f>
        <v>0</v>
      </c>
      <c r="Q29">
        <f>(IF(Input!Q35="Sorcery",1,0))*Input!I35+(IF(Input!Z35="Sorcery",1,0))*Input!R35</f>
        <v>0</v>
      </c>
      <c r="R29">
        <f>(IF(Input!Q35="Instant",1,0))*Input!I35+(IF(Input!Z35="Instant",1,0))*Input!R35</f>
        <v>0</v>
      </c>
      <c r="S29">
        <f>(IF(Input!Q35="Artifact",1,0))*Input!I35+(IF(Input!Z35="Artifact",1,0))*Input!R35</f>
        <v>0</v>
      </c>
      <c r="T29">
        <f>(IF(Input!Q35="Enchantment",1,0))*Input!I35+(IF(Input!Z35="Enchantment",1,0))*Input!R35</f>
        <v>0</v>
      </c>
      <c r="U29">
        <f>(IF(Input!Q35="Creature",1,0))*Input!I35+(IF(Input!Z35="Creature",1,0))*Input!R35</f>
        <v>0</v>
      </c>
      <c r="V29">
        <f>(IF(Input!Q35="Planeswalker",1,0))*Input!I35+(IF(Input!Z35="Planeswalker",1,0))*Input!R35</f>
        <v>0</v>
      </c>
      <c r="AF29">
        <f>IF(Input!K35=0,1,0)*Input!I35+IF(Input!T35=0,1,0)*Input!R35</f>
        <v>0</v>
      </c>
      <c r="AG29">
        <f>IF(Input!K35=1,1,0)*Input!I35+IF(Input!T35=1,1,0)*Input!R35</f>
        <v>0</v>
      </c>
      <c r="AH29">
        <f>IF(Input!K35=2,1,0)*Input!I35+IF(Input!T35=2,1,0)*Input!R35</f>
        <v>0</v>
      </c>
      <c r="AI29">
        <f>IF(Input!K35=3,1,0)*Input!I36+IF(Input!T35=3,1,0)*Input!R35</f>
        <v>0</v>
      </c>
      <c r="AJ29">
        <f>IF(Input!K35=4,1,0)*Input!I35+IF(Input!T35=4,1,0)*Input!R35</f>
        <v>0</v>
      </c>
      <c r="AK29">
        <f>IF(Input!K35=5,1,0)*Input!I35+IF(Input!T35=5,1,0)*Input!R35</f>
        <v>0</v>
      </c>
      <c r="AL29">
        <f>IF(Input!K35=6,1,0)*Input!I35+IF(Input!T35=6,1,0)*Input!R35</f>
        <v>0</v>
      </c>
      <c r="AM29">
        <f>IF(Input!K35=7,1,0)*Input!I35+IF(Input!T35=7,1,0)*Input!R35</f>
        <v>0</v>
      </c>
      <c r="AN29">
        <f>IF(Input!K35=8,1,0)*Input!I35+IF(Input!T35=8,1,0)*Input!R35</f>
        <v>0</v>
      </c>
      <c r="AO29">
        <f>IF(Input!K35=9,1,0)*Input!I35+IF(Input!T35=9,1,0)*Input!R35</f>
        <v>0</v>
      </c>
      <c r="AP29">
        <f>IF(Input!K35=10,1,0)*Input!I35+IF(Input!T35=10,1,0)*Input!R35</f>
        <v>0</v>
      </c>
      <c r="AQ29">
        <f>IF(Input!K35=11,1,0)*Input!I35+IF(Input!T35=11,1,0)*Input!R35</f>
        <v>0</v>
      </c>
      <c r="AR29">
        <f>IF(Input!K35=12,1,0)*Input!I35+IF(Input!T35=12,1,0)*Input!R35</f>
        <v>0</v>
      </c>
      <c r="AS29">
        <f>IF(Input!K35=13,1,0)*Input!I35+IF(Input!T35=13,1,0)*Input!R35</f>
        <v>0</v>
      </c>
      <c r="AT29">
        <f>IF(Input!K35=14,1,0)*Input!I35+IF(Input!T35=14,1,0)*Input!R35</f>
        <v>0</v>
      </c>
      <c r="AU29">
        <f>IF(Input!K35=15,1,0)*Input!I35+IF(Input!T35=15,1,0)*Input!R35</f>
        <v>0</v>
      </c>
      <c r="AV29">
        <f>IF(Input!K35=16,1,0)*Input!I35+IF(Input!T35=16,1,0)*Input!R35</f>
        <v>0</v>
      </c>
    </row>
    <row r="30" spans="2:48" x14ac:dyDescent="0.25">
      <c r="B30">
        <f>(IF(Input!C36="Green",1,0)+IF(Input!D36="Green",1,0)+IF(Input!E36="Green",1,0)+IF(Input!F36="Green",1,0)+IF(Input!G36="Green",1,0)+IF(Input!H36="Green",1,0))*Input!A36</f>
        <v>0</v>
      </c>
      <c r="C30">
        <f>(IF(Input!C36="Red",1,0)+IF(Input!D36="Red",1,0)+IF(Input!E36="Red",1,0)+IF(Input!F36="Red",1,0)+IF(Input!G36="Red",1,0)+IF(Input!H36="Red",1,0))*Input!A36</f>
        <v>0</v>
      </c>
      <c r="D30">
        <f>(IF(Input!C36="Blue",1,0)+IF(Input!D36="Blue",1,0)+IF(Input!E36="Blue",1,0)+IF(Input!F36="Blue",1,0)+IF(Input!G36="Blue",1,0)+IF(Input!H36="Blue",1,0))*Input!A36</f>
        <v>0</v>
      </c>
      <c r="E30">
        <f>(IF(Input!C36="White",1,0)+IF(Input!D36="White",1,0)+IF(Input!E36="White",1,0)+IF(Input!F36="White",1,0)+IF(Input!G36="White",1,0)+IF(Input!H36="White",1,0))*Input!A36</f>
        <v>0</v>
      </c>
      <c r="F30">
        <f>(IF(Input!C36="Black",1,0)+IF(Input!D36="Black",1,0)+IF(Input!E36="Black",1,0)+IF(Input!F36="Black",1,0)+IF(Input!G36="Black",1,0)+IF(Input!H36="Black",1,0))*Input!A36</f>
        <v>0</v>
      </c>
      <c r="G30">
        <f>(IF(Input!C36="Colorless",1,0)+IF(Input!D36="Colorless",1,0)+IF(Input!E36="Colorless",1,0)+IF(Input!F36="Colorless",1,0)+IF(Input!G36="Colorless",1,0)+IF(Input!H36="Colorless",1,0))*Input!A36</f>
        <v>0</v>
      </c>
      <c r="J30">
        <f>(IF(Input!L36="Green",1,0)+IF(Input!M36="Green",1,0)+IF(Input!N36="Green",1,0)+IF(Input!O36="Green",1,0)+IF(Input!P36="Green",1,0))*Input!I36+(IF(Input!U36="Green",1,0)+IF(Input!V36="Green",1,0)+IF(Input!W36="Green",1,0)+IF(Input!X36="Green",1,0)+IF(Input!Y36="Green",1,0))*Input!R36</f>
        <v>0</v>
      </c>
      <c r="K30">
        <f>(IF(Input!L36="Red",1,0)+IF(Input!M36="Red",1,0)+IF(Input!N36="Red",1,0)+IF(Input!O36="Red",1,0)+IF(Input!P36="Red",1,0))*Input!I36+(IF(Input!U36="Red",1,0)+IF(Input!V36="Red",1,0)+IF(Input!W36="Red",1,0)+IF(Input!X36="Red",1,0)+IF(Input!Y36="Red",1,0))*Input!R36</f>
        <v>0</v>
      </c>
      <c r="L30">
        <f>(IF(Input!L36="Blue",1,0)+IF(Input!M36="Blue",1,0)+IF(Input!N36="Blue",1,0)+IF(Input!O36="Blue",1,0)+IF(Input!P36="Blue",1,0))*Input!I36+(IF(Input!U36="Blue",1,0)+IF(Input!V36="Blue",1,0)+IF(Input!W36="Blue",1,0)+IF(Input!X36="Blue",1,0)+IF(Input!Y36="Blue",1,0))*Input!R36</f>
        <v>0</v>
      </c>
      <c r="M30">
        <f>(IF(Input!L36="White",1,0)+IF(Input!M36="White",1,0)+IF(Input!N36="White",1,0)+IF(Input!O36="White",1,0)+IF(Input!P36="White",1,0))*Input!I36+(IF(Input!U36="White",1,0)+IF(Input!V36="White",1,0)+IF(Input!W36="White",1,0)+IF(Input!X36="White",1,0)+IF(Input!Y36="White",1,0))*Input!R36</f>
        <v>0</v>
      </c>
      <c r="N30">
        <f>(IF(Input!L36="Black",1,0)+IF(Input!M36="Black",1,0)+IF(Input!N36="Black",1,0)+IF(Input!O36="Black",1,0)+IF(Input!P36="Black",1,0))*Input!I36+(IF(Input!U36="Black",1,0)+IF(Input!V36="Black",1,0)+IF(Input!W36="Black",1,0)+IF(Input!X36="Black",1,0)+IF(Input!Y36="Black",1,0))*Input!R36</f>
        <v>0</v>
      </c>
      <c r="O30">
        <f>(IF(Input!L36="Colorless",1,0)+IF(Input!M36="Colorless",1,0)+IF(Input!N36="Colorless",1,0)+IF(Input!O36="Colorless",1,0)+IF(Input!P36="Colorless",1,0))*Input!I36+(IF(Input!U36="Colorless",1,0)+IF(Input!V36="Colorless",1,0)+IF(Input!W36="Colorless",1,0)+IF(Input!X36="Colorless",1,0)+IF(Input!Y36="Colorless",1,0))*Input!R36</f>
        <v>0</v>
      </c>
      <c r="Q30">
        <f>(IF(Input!Q36="Sorcery",1,0))*Input!I36+(IF(Input!Z36="Sorcery",1,0))*Input!R36</f>
        <v>0</v>
      </c>
      <c r="R30">
        <f>(IF(Input!Q36="Instant",1,0))*Input!I36+(IF(Input!Z36="Instant",1,0))*Input!R36</f>
        <v>0</v>
      </c>
      <c r="S30">
        <f>(IF(Input!Q36="Artifact",1,0))*Input!I36+(IF(Input!Z36="Artifact",1,0))*Input!R36</f>
        <v>0</v>
      </c>
      <c r="T30">
        <f>(IF(Input!Q36="Enchantment",1,0))*Input!I36+(IF(Input!Z36="Enchantment",1,0))*Input!R36</f>
        <v>0</v>
      </c>
      <c r="U30">
        <f>(IF(Input!Q36="Creature",1,0))*Input!I36+(IF(Input!Z36="Creature",1,0))*Input!R36</f>
        <v>0</v>
      </c>
      <c r="V30">
        <f>(IF(Input!Q36="Planeswalker",1,0))*Input!I36+(IF(Input!Z36="Planeswalker",1,0))*Input!R36</f>
        <v>0</v>
      </c>
      <c r="AF30">
        <f>IF(Input!K36=0,1,0)*Input!I36+IF(Input!T36=0,1,0)*Input!R36</f>
        <v>0</v>
      </c>
      <c r="AG30">
        <f>IF(Input!K36=1,1,0)*Input!I36+IF(Input!T36=1,1,0)*Input!R36</f>
        <v>0</v>
      </c>
      <c r="AH30">
        <f>IF(Input!K36=2,1,0)*Input!I36+IF(Input!T36=2,1,0)*Input!R36</f>
        <v>0</v>
      </c>
      <c r="AI30">
        <f>IF(Input!K36=3,1,0)*Input!I37+IF(Input!T36=3,1,0)*Input!R36</f>
        <v>0</v>
      </c>
      <c r="AJ30">
        <f>IF(Input!K36=4,1,0)*Input!I36+IF(Input!T36=4,1,0)*Input!R36</f>
        <v>0</v>
      </c>
      <c r="AK30">
        <f>IF(Input!K36=5,1,0)*Input!I36+IF(Input!T36=5,1,0)*Input!R36</f>
        <v>0</v>
      </c>
      <c r="AL30">
        <f>IF(Input!K36=6,1,0)*Input!I36+IF(Input!T36=6,1,0)*Input!R36</f>
        <v>0</v>
      </c>
      <c r="AM30">
        <f>IF(Input!K36=7,1,0)*Input!I36+IF(Input!T36=7,1,0)*Input!R36</f>
        <v>0</v>
      </c>
      <c r="AN30">
        <f>IF(Input!K36=8,1,0)*Input!I36+IF(Input!T36=8,1,0)*Input!R36</f>
        <v>0</v>
      </c>
      <c r="AO30">
        <f>IF(Input!K36=9,1,0)*Input!I36+IF(Input!T36=9,1,0)*Input!R36</f>
        <v>0</v>
      </c>
      <c r="AP30">
        <f>IF(Input!K36=10,1,0)*Input!I36+IF(Input!T36=10,1,0)*Input!R36</f>
        <v>0</v>
      </c>
      <c r="AQ30">
        <f>IF(Input!K36=11,1,0)*Input!I36+IF(Input!T36=11,1,0)*Input!R36</f>
        <v>0</v>
      </c>
      <c r="AR30">
        <f>IF(Input!K36=12,1,0)*Input!I36+IF(Input!T36=12,1,0)*Input!R36</f>
        <v>0</v>
      </c>
      <c r="AS30">
        <f>IF(Input!K36=13,1,0)*Input!I36+IF(Input!T36=13,1,0)*Input!R36</f>
        <v>0</v>
      </c>
      <c r="AT30">
        <f>IF(Input!K36=14,1,0)*Input!I36+IF(Input!T36=14,1,0)*Input!R36</f>
        <v>0</v>
      </c>
      <c r="AU30">
        <f>IF(Input!K36=15,1,0)*Input!I36+IF(Input!T36=15,1,0)*Input!R36</f>
        <v>0</v>
      </c>
      <c r="AV30">
        <f>IF(Input!K36=16,1,0)*Input!I36+IF(Input!T36=16,1,0)*Input!R36</f>
        <v>0</v>
      </c>
    </row>
    <row r="31" spans="2:48" x14ac:dyDescent="0.25">
      <c r="B31">
        <f>(IF(Input!C37="Green",1,0)+IF(Input!D37="Green",1,0)+IF(Input!E37="Green",1,0)+IF(Input!F37="Green",1,0)+IF(Input!G37="Green",1,0)+IF(Input!H37="Green",1,0))*Input!A37</f>
        <v>0</v>
      </c>
      <c r="C31">
        <f>(IF(Input!C37="Red",1,0)+IF(Input!D37="Red",1,0)+IF(Input!E37="Red",1,0)+IF(Input!F37="Red",1,0)+IF(Input!G37="Red",1,0)+IF(Input!H37="Red",1,0))*Input!A37</f>
        <v>0</v>
      </c>
      <c r="D31">
        <f>(IF(Input!C37="Blue",1,0)+IF(Input!D37="Blue",1,0)+IF(Input!E37="Blue",1,0)+IF(Input!F37="Blue",1,0)+IF(Input!G37="Blue",1,0)+IF(Input!H37="Blue",1,0))*Input!A37</f>
        <v>0</v>
      </c>
      <c r="E31">
        <f>(IF(Input!C37="White",1,0)+IF(Input!D37="White",1,0)+IF(Input!E37="White",1,0)+IF(Input!F37="White",1,0)+IF(Input!G37="White",1,0)+IF(Input!H37="White",1,0))*Input!A37</f>
        <v>0</v>
      </c>
      <c r="F31">
        <f>(IF(Input!C37="Black",1,0)+IF(Input!D37="Black",1,0)+IF(Input!E37="Black",1,0)+IF(Input!F37="Black",1,0)+IF(Input!G37="Black",1,0)+IF(Input!H37="Black",1,0))*Input!A37</f>
        <v>0</v>
      </c>
      <c r="G31">
        <f>(IF(Input!C37="Colorless",1,0)+IF(Input!D37="Colorless",1,0)+IF(Input!E37="Colorless",1,0)+IF(Input!F37="Colorless",1,0)+IF(Input!G37="Colorless",1,0)+IF(Input!H37="Colorless",1,0))*Input!A37</f>
        <v>0</v>
      </c>
      <c r="J31">
        <f>(IF(Input!L37="Green",1,0)+IF(Input!M37="Green",1,0)+IF(Input!N37="Green",1,0)+IF(Input!O37="Green",1,0)+IF(Input!P37="Green",1,0))*Input!I37+(IF(Input!U37="Green",1,0)+IF(Input!V37="Green",1,0)+IF(Input!W37="Green",1,0)+IF(Input!X37="Green",1,0)+IF(Input!Y37="Green",1,0))*Input!R37</f>
        <v>0</v>
      </c>
      <c r="K31">
        <f>(IF(Input!L37="Red",1,0)+IF(Input!M37="Red",1,0)+IF(Input!N37="Red",1,0)+IF(Input!O37="Red",1,0)+IF(Input!P37="Red",1,0))*Input!I37+(IF(Input!U37="Red",1,0)+IF(Input!V37="Red",1,0)+IF(Input!W37="Red",1,0)+IF(Input!X37="Red",1,0)+IF(Input!Y37="Red",1,0))*Input!R37</f>
        <v>0</v>
      </c>
      <c r="L31">
        <f>(IF(Input!L37="Blue",1,0)+IF(Input!M37="Blue",1,0)+IF(Input!N37="Blue",1,0)+IF(Input!O37="Blue",1,0)+IF(Input!P37="Blue",1,0))*Input!I37+(IF(Input!U37="Blue",1,0)+IF(Input!V37="Blue",1,0)+IF(Input!W37="Blue",1,0)+IF(Input!X37="Blue",1,0)+IF(Input!Y37="Blue",1,0))*Input!R37</f>
        <v>0</v>
      </c>
      <c r="M31">
        <f>(IF(Input!L37="White",1,0)+IF(Input!M37="White",1,0)+IF(Input!N37="White",1,0)+IF(Input!O37="White",1,0)+IF(Input!P37="White",1,0))*Input!I37+(IF(Input!U37="White",1,0)+IF(Input!V37="White",1,0)+IF(Input!W37="White",1,0)+IF(Input!X37="White",1,0)+IF(Input!Y37="White",1,0))*Input!R37</f>
        <v>0</v>
      </c>
      <c r="N31">
        <f>(IF(Input!L37="Black",1,0)+IF(Input!M37="Black",1,0)+IF(Input!N37="Black",1,0)+IF(Input!O37="Black",1,0)+IF(Input!P37="Black",1,0))*Input!I37+(IF(Input!U37="Black",1,0)+IF(Input!V37="Black",1,0)+IF(Input!W37="Black",1,0)+IF(Input!X37="Black",1,0)+IF(Input!Y37="Black",1,0))*Input!R37</f>
        <v>0</v>
      </c>
      <c r="O31">
        <f>(IF(Input!L37="Colorless",1,0)+IF(Input!M37="Colorless",1,0)+IF(Input!N37="Colorless",1,0)+IF(Input!O37="Colorless",1,0)+IF(Input!P37="Colorless",1,0))*Input!I37+(IF(Input!U37="Colorless",1,0)+IF(Input!V37="Colorless",1,0)+IF(Input!W37="Colorless",1,0)+IF(Input!X37="Colorless",1,0)+IF(Input!Y37="Colorless",1,0))*Input!R37</f>
        <v>0</v>
      </c>
      <c r="Q31">
        <f>(IF(Input!Q37="Sorcery",1,0))*Input!I37+(IF(Input!Z37="Sorcery",1,0))*Input!R37</f>
        <v>0</v>
      </c>
      <c r="R31">
        <f>(IF(Input!Q37="Instant",1,0))*Input!I37+(IF(Input!Z37="Instant",1,0))*Input!R37</f>
        <v>0</v>
      </c>
      <c r="S31">
        <f>(IF(Input!Q37="Artifact",1,0))*Input!I37+(IF(Input!Z37="Artifact",1,0))*Input!R37</f>
        <v>0</v>
      </c>
      <c r="T31">
        <f>(IF(Input!Q37="Enchantment",1,0))*Input!I37+(IF(Input!Z37="Enchantment",1,0))*Input!R37</f>
        <v>0</v>
      </c>
      <c r="U31">
        <f>(IF(Input!Q37="Creature",1,0))*Input!I37+(IF(Input!Z37="Creature",1,0))*Input!R37</f>
        <v>0</v>
      </c>
      <c r="V31">
        <f>(IF(Input!Q37="Planeswalker",1,0))*Input!I37+(IF(Input!Z37="Planeswalker",1,0))*Input!R37</f>
        <v>0</v>
      </c>
      <c r="AF31">
        <f>IF(Input!K37=0,1,0)*Input!I37+IF(Input!T37=0,1,0)*Input!R37</f>
        <v>0</v>
      </c>
      <c r="AG31">
        <f>IF(Input!K37=1,1,0)*Input!I37+IF(Input!T37=1,1,0)*Input!R37</f>
        <v>0</v>
      </c>
      <c r="AH31">
        <f>IF(Input!K37=2,1,0)*Input!I37+IF(Input!T37=2,1,0)*Input!R37</f>
        <v>0</v>
      </c>
      <c r="AI31">
        <f>IF(Input!K37=3,1,0)*Input!I38+IF(Input!T37=3,1,0)*Input!R37</f>
        <v>0</v>
      </c>
      <c r="AJ31">
        <f>IF(Input!K37=4,1,0)*Input!I37+IF(Input!T37=4,1,0)*Input!R37</f>
        <v>0</v>
      </c>
      <c r="AK31">
        <f>IF(Input!K37=5,1,0)*Input!I37+IF(Input!T37=5,1,0)*Input!R37</f>
        <v>0</v>
      </c>
      <c r="AL31">
        <f>IF(Input!K37=6,1,0)*Input!I37+IF(Input!T37=6,1,0)*Input!R37</f>
        <v>0</v>
      </c>
      <c r="AM31">
        <f>IF(Input!K37=7,1,0)*Input!I37+IF(Input!T37=7,1,0)*Input!R37</f>
        <v>0</v>
      </c>
      <c r="AN31">
        <f>IF(Input!K37=8,1,0)*Input!I37+IF(Input!T37=8,1,0)*Input!R37</f>
        <v>0</v>
      </c>
      <c r="AO31">
        <f>IF(Input!K37=9,1,0)*Input!I37+IF(Input!T37=9,1,0)*Input!R37</f>
        <v>0</v>
      </c>
      <c r="AP31">
        <f>IF(Input!K37=10,1,0)*Input!I37+IF(Input!T37=10,1,0)*Input!R37</f>
        <v>0</v>
      </c>
      <c r="AQ31">
        <f>IF(Input!K37=11,1,0)*Input!I37+IF(Input!T37=11,1,0)*Input!R37</f>
        <v>0</v>
      </c>
      <c r="AR31">
        <f>IF(Input!K37=12,1,0)*Input!I37+IF(Input!T37=12,1,0)*Input!R37</f>
        <v>0</v>
      </c>
      <c r="AS31">
        <f>IF(Input!K37=13,1,0)*Input!I37+IF(Input!T37=13,1,0)*Input!R37</f>
        <v>0</v>
      </c>
      <c r="AT31">
        <f>IF(Input!K37=14,1,0)*Input!I37+IF(Input!T37=14,1,0)*Input!R37</f>
        <v>0</v>
      </c>
      <c r="AU31">
        <f>IF(Input!K37=15,1,0)*Input!I37+IF(Input!T37=15,1,0)*Input!R37</f>
        <v>0</v>
      </c>
      <c r="AV31">
        <f>IF(Input!K37=16,1,0)*Input!I37+IF(Input!T37=16,1,0)*Input!R37</f>
        <v>0</v>
      </c>
    </row>
    <row r="32" spans="2:48" x14ac:dyDescent="0.25">
      <c r="B32">
        <f>(IF(Input!C38="Green",1,0)+IF(Input!D38="Green",1,0)+IF(Input!E38="Green",1,0)+IF(Input!F38="Green",1,0)+IF(Input!G38="Green",1,0)+IF(Input!H38="Green",1,0))*Input!A38</f>
        <v>0</v>
      </c>
      <c r="C32">
        <f>(IF(Input!C38="Red",1,0)+IF(Input!D38="Red",1,0)+IF(Input!E38="Red",1,0)+IF(Input!F38="Red",1,0)+IF(Input!G38="Red",1,0)+IF(Input!H38="Red",1,0))*Input!A38</f>
        <v>0</v>
      </c>
      <c r="D32">
        <f>(IF(Input!C38="Blue",1,0)+IF(Input!D38="Blue",1,0)+IF(Input!E38="Blue",1,0)+IF(Input!F38="Blue",1,0)+IF(Input!G38="Blue",1,0)+IF(Input!H38="Blue",1,0))*Input!A38</f>
        <v>0</v>
      </c>
      <c r="E32">
        <f>(IF(Input!C38="White",1,0)+IF(Input!D38="White",1,0)+IF(Input!E38="White",1,0)+IF(Input!F38="White",1,0)+IF(Input!G38="White",1,0)+IF(Input!H38="White",1,0))*Input!A38</f>
        <v>0</v>
      </c>
      <c r="F32">
        <f>(IF(Input!C38="Black",1,0)+IF(Input!D38="Black",1,0)+IF(Input!E38="Black",1,0)+IF(Input!F38="Black",1,0)+IF(Input!G38="Black",1,0)+IF(Input!H38="Black",1,0))*Input!A38</f>
        <v>0</v>
      </c>
      <c r="G32">
        <f>(IF(Input!C38="Colorless",1,0)+IF(Input!D38="Colorless",1,0)+IF(Input!E38="Colorless",1,0)+IF(Input!F38="Colorless",1,0)+IF(Input!G38="Colorless",1,0)+IF(Input!H38="Colorless",1,0))*Input!A38</f>
        <v>0</v>
      </c>
      <c r="J32">
        <f>(IF(Input!L38="Green",1,0)+IF(Input!M38="Green",1,0)+IF(Input!N38="Green",1,0)+IF(Input!O38="Green",1,0)+IF(Input!P38="Green",1,0))*Input!I38+(IF(Input!U38="Green",1,0)+IF(Input!V38="Green",1,0)+IF(Input!W38="Green",1,0)+IF(Input!X38="Green",1,0)+IF(Input!Y38="Green",1,0))*Input!R38</f>
        <v>0</v>
      </c>
      <c r="K32">
        <f>(IF(Input!L38="Red",1,0)+IF(Input!M38="Red",1,0)+IF(Input!N38="Red",1,0)+IF(Input!O38="Red",1,0)+IF(Input!P38="Red",1,0))*Input!I38+(IF(Input!U38="Red",1,0)+IF(Input!V38="Red",1,0)+IF(Input!W38="Red",1,0)+IF(Input!X38="Red",1,0)+IF(Input!Y38="Red",1,0))*Input!R38</f>
        <v>0</v>
      </c>
      <c r="L32">
        <f>(IF(Input!L38="Blue",1,0)+IF(Input!M38="Blue",1,0)+IF(Input!N38="Blue",1,0)+IF(Input!O38="Blue",1,0)+IF(Input!P38="Blue",1,0))*Input!I38+(IF(Input!U38="Blue",1,0)+IF(Input!V38="Blue",1,0)+IF(Input!W38="Blue",1,0)+IF(Input!X38="Blue",1,0)+IF(Input!Y38="Blue",1,0))*Input!R38</f>
        <v>0</v>
      </c>
      <c r="M32">
        <f>(IF(Input!L38="White",1,0)+IF(Input!M38="White",1,0)+IF(Input!N38="White",1,0)+IF(Input!O38="White",1,0)+IF(Input!P38="White",1,0))*Input!I38+(IF(Input!U38="White",1,0)+IF(Input!V38="White",1,0)+IF(Input!W38="White",1,0)+IF(Input!X38="White",1,0)+IF(Input!Y38="White",1,0))*Input!R38</f>
        <v>0</v>
      </c>
      <c r="N32">
        <f>(IF(Input!L38="Black",1,0)+IF(Input!M38="Black",1,0)+IF(Input!N38="Black",1,0)+IF(Input!O38="Black",1,0)+IF(Input!P38="Black",1,0))*Input!I38+(IF(Input!U38="Black",1,0)+IF(Input!V38="Black",1,0)+IF(Input!W38="Black",1,0)+IF(Input!X38="Black",1,0)+IF(Input!Y38="Black",1,0))*Input!R38</f>
        <v>0</v>
      </c>
      <c r="O32">
        <f>(IF(Input!L38="Colorless",1,0)+IF(Input!M38="Colorless",1,0)+IF(Input!N38="Colorless",1,0)+IF(Input!O38="Colorless",1,0)+IF(Input!P38="Colorless",1,0))*Input!I38+(IF(Input!U38="Colorless",1,0)+IF(Input!V38="Colorless",1,0)+IF(Input!W38="Colorless",1,0)+IF(Input!X38="Colorless",1,0)+IF(Input!Y38="Colorless",1,0))*Input!R38</f>
        <v>0</v>
      </c>
      <c r="Q32">
        <f>(IF(Input!Q38="Sorcery",1,0))*Input!I38+(IF(Input!Z38="Sorcery",1,0))*Input!R38</f>
        <v>0</v>
      </c>
      <c r="R32">
        <f>(IF(Input!Q38="Instant",1,0))*Input!I38+(IF(Input!Z38="Instant",1,0))*Input!R38</f>
        <v>0</v>
      </c>
      <c r="S32">
        <f>(IF(Input!Q38="Artifact",1,0))*Input!I38+(IF(Input!Z38="Artifact",1,0))*Input!R38</f>
        <v>0</v>
      </c>
      <c r="T32">
        <f>(IF(Input!Q38="Enchantment",1,0))*Input!I38+(IF(Input!Z38="Enchantment",1,0))*Input!R38</f>
        <v>0</v>
      </c>
      <c r="U32">
        <f>(IF(Input!Q38="Creature",1,0))*Input!I38+(IF(Input!Z38="Creature",1,0))*Input!R38</f>
        <v>0</v>
      </c>
      <c r="V32">
        <f>(IF(Input!Q38="Planeswalker",1,0))*Input!I38+(IF(Input!Z38="Planeswalker",1,0))*Input!R38</f>
        <v>0</v>
      </c>
      <c r="AF32">
        <f>IF(Input!K38=0,1,0)*Input!I38+IF(Input!T38=0,1,0)*Input!R38</f>
        <v>0</v>
      </c>
      <c r="AG32">
        <f>IF(Input!K38=1,1,0)*Input!I38+IF(Input!T38=1,1,0)*Input!R38</f>
        <v>0</v>
      </c>
      <c r="AH32">
        <f>IF(Input!K38=2,1,0)*Input!I38+IF(Input!T38=2,1,0)*Input!R38</f>
        <v>0</v>
      </c>
      <c r="AI32">
        <f>IF(Input!K38=3,1,0)*Input!I39+IF(Input!T38=3,1,0)*Input!R38</f>
        <v>0</v>
      </c>
      <c r="AJ32">
        <f>IF(Input!K38=4,1,0)*Input!I38+IF(Input!T38=4,1,0)*Input!R38</f>
        <v>0</v>
      </c>
      <c r="AK32">
        <f>IF(Input!K38=5,1,0)*Input!I38+IF(Input!T38=5,1,0)*Input!R38</f>
        <v>0</v>
      </c>
      <c r="AL32">
        <f>IF(Input!K38=6,1,0)*Input!I38+IF(Input!T38=6,1,0)*Input!R38</f>
        <v>0</v>
      </c>
      <c r="AM32">
        <f>IF(Input!K38=7,1,0)*Input!I38+IF(Input!T38=7,1,0)*Input!R38</f>
        <v>0</v>
      </c>
      <c r="AN32">
        <f>IF(Input!K38=8,1,0)*Input!I38+IF(Input!T38=8,1,0)*Input!R38</f>
        <v>0</v>
      </c>
      <c r="AO32">
        <f>IF(Input!K38=9,1,0)*Input!I38+IF(Input!T38=9,1,0)*Input!R38</f>
        <v>0</v>
      </c>
      <c r="AP32">
        <f>IF(Input!K38=10,1,0)*Input!I38+IF(Input!T38=10,1,0)*Input!R38</f>
        <v>0</v>
      </c>
      <c r="AQ32">
        <f>IF(Input!K38=11,1,0)*Input!I38+IF(Input!T38=11,1,0)*Input!R38</f>
        <v>0</v>
      </c>
      <c r="AR32">
        <f>IF(Input!K38=12,1,0)*Input!I38+IF(Input!T38=12,1,0)*Input!R38</f>
        <v>0</v>
      </c>
      <c r="AS32">
        <f>IF(Input!K38=13,1,0)*Input!I38+IF(Input!T38=13,1,0)*Input!R38</f>
        <v>0</v>
      </c>
      <c r="AT32">
        <f>IF(Input!K38=14,1,0)*Input!I38+IF(Input!T38=14,1,0)*Input!R38</f>
        <v>0</v>
      </c>
      <c r="AU32">
        <f>IF(Input!K38=15,1,0)*Input!I38+IF(Input!T38=15,1,0)*Input!R38</f>
        <v>0</v>
      </c>
      <c r="AV32">
        <f>IF(Input!K38=16,1,0)*Input!I38+IF(Input!T38=16,1,0)*Input!R38</f>
        <v>0</v>
      </c>
    </row>
    <row r="33" spans="2:48" x14ac:dyDescent="0.25">
      <c r="B33">
        <f>(IF(Input!C39="Green",1,0)+IF(Input!D39="Green",1,0)+IF(Input!E39="Green",1,0)+IF(Input!F39="Green",1,0)+IF(Input!G39="Green",1,0)+IF(Input!H39="Green",1,0))*Input!A39</f>
        <v>0</v>
      </c>
      <c r="C33">
        <f>(IF(Input!C39="Red",1,0)+IF(Input!D39="Red",1,0)+IF(Input!E39="Red",1,0)+IF(Input!F39="Red",1,0)+IF(Input!G39="Red",1,0)+IF(Input!H39="Red",1,0))*Input!A39</f>
        <v>0</v>
      </c>
      <c r="D33">
        <f>(IF(Input!C39="Blue",1,0)+IF(Input!D39="Blue",1,0)+IF(Input!E39="Blue",1,0)+IF(Input!F39="Blue",1,0)+IF(Input!G39="Blue",1,0)+IF(Input!H39="Blue",1,0))*Input!A39</f>
        <v>0</v>
      </c>
      <c r="E33">
        <f>(IF(Input!C39="White",1,0)+IF(Input!D39="White",1,0)+IF(Input!E39="White",1,0)+IF(Input!F39="White",1,0)+IF(Input!G39="White",1,0)+IF(Input!H39="White",1,0))*Input!A39</f>
        <v>0</v>
      </c>
      <c r="F33">
        <f>(IF(Input!C39="Black",1,0)+IF(Input!D39="Black",1,0)+IF(Input!E39="Black",1,0)+IF(Input!F39="Black",1,0)+IF(Input!G39="Black",1,0)+IF(Input!H39="Black",1,0))*Input!A39</f>
        <v>0</v>
      </c>
      <c r="G33">
        <f>(IF(Input!C39="Colorless",1,0)+IF(Input!D39="Colorless",1,0)+IF(Input!E39="Colorless",1,0)+IF(Input!F39="Colorless",1,0)+IF(Input!G39="Colorless",1,0)+IF(Input!H39="Colorless",1,0))*Input!A39</f>
        <v>0</v>
      </c>
      <c r="J33">
        <f>(IF(Input!L39="Green",1,0)+IF(Input!M39="Green",1,0)+IF(Input!N39="Green",1,0)+IF(Input!O39="Green",1,0)+IF(Input!P39="Green",1,0))*Input!I39+(IF(Input!U39="Green",1,0)+IF(Input!V39="Green",1,0)+IF(Input!W39="Green",1,0)+IF(Input!X39="Green",1,0)+IF(Input!Y39="Green",1,0))*Input!R39</f>
        <v>0</v>
      </c>
      <c r="K33">
        <f>(IF(Input!L39="Red",1,0)+IF(Input!M39="Red",1,0)+IF(Input!N39="Red",1,0)+IF(Input!O39="Red",1,0)+IF(Input!P39="Red",1,0))*Input!I39+(IF(Input!U39="Red",1,0)+IF(Input!V39="Red",1,0)+IF(Input!W39="Red",1,0)+IF(Input!X39="Red",1,0)+IF(Input!Y39="Red",1,0))*Input!R39</f>
        <v>0</v>
      </c>
      <c r="L33">
        <f>(IF(Input!L39="Blue",1,0)+IF(Input!M39="Blue",1,0)+IF(Input!N39="Blue",1,0)+IF(Input!O39="Blue",1,0)+IF(Input!P39="Blue",1,0))*Input!I39+(IF(Input!U39="Blue",1,0)+IF(Input!V39="Blue",1,0)+IF(Input!W39="Blue",1,0)+IF(Input!X39="Blue",1,0)+IF(Input!Y39="Blue",1,0))*Input!R39</f>
        <v>0</v>
      </c>
      <c r="M33">
        <f>(IF(Input!L39="White",1,0)+IF(Input!M39="White",1,0)+IF(Input!N39="White",1,0)+IF(Input!O39="White",1,0)+IF(Input!P39="White",1,0))*Input!I39+(IF(Input!U39="White",1,0)+IF(Input!V39="White",1,0)+IF(Input!W39="White",1,0)+IF(Input!X39="White",1,0)+IF(Input!Y39="White",1,0))*Input!R39</f>
        <v>0</v>
      </c>
      <c r="N33">
        <f>(IF(Input!L39="Black",1,0)+IF(Input!M39="Black",1,0)+IF(Input!N39="Black",1,0)+IF(Input!O39="Black",1,0)+IF(Input!P39="Black",1,0))*Input!I39+(IF(Input!U39="Black",1,0)+IF(Input!V39="Black",1,0)+IF(Input!W39="Black",1,0)+IF(Input!X39="Black",1,0)+IF(Input!Y39="Black",1,0))*Input!R39</f>
        <v>0</v>
      </c>
      <c r="O33">
        <f>(IF(Input!L39="Colorless",1,0)+IF(Input!M39="Colorless",1,0)+IF(Input!N39="Colorless",1,0)+IF(Input!O39="Colorless",1,0)+IF(Input!P39="Colorless",1,0))*Input!I39+(IF(Input!U39="Colorless",1,0)+IF(Input!V39="Colorless",1,0)+IF(Input!W39="Colorless",1,0)+IF(Input!X39="Colorless",1,0)+IF(Input!Y39="Colorless",1,0))*Input!R39</f>
        <v>0</v>
      </c>
      <c r="Q33">
        <f>(IF(Input!Q39="Sorcery",1,0))*Input!I39+(IF(Input!Z39="Sorcery",1,0))*Input!R39</f>
        <v>0</v>
      </c>
      <c r="R33">
        <f>(IF(Input!Q39="Instant",1,0))*Input!I39+(IF(Input!Z39="Instant",1,0))*Input!R39</f>
        <v>0</v>
      </c>
      <c r="S33">
        <f>(IF(Input!Q39="Artifact",1,0))*Input!I39+(IF(Input!Z39="Artifact",1,0))*Input!R39</f>
        <v>0</v>
      </c>
      <c r="T33">
        <f>(IF(Input!Q39="Enchantment",1,0))*Input!I39+(IF(Input!Z39="Enchantment",1,0))*Input!R39</f>
        <v>0</v>
      </c>
      <c r="U33">
        <f>(IF(Input!Q39="Creature",1,0))*Input!I39+(IF(Input!Z39="Creature",1,0))*Input!R39</f>
        <v>0</v>
      </c>
      <c r="V33">
        <f>(IF(Input!Q39="Planeswalker",1,0))*Input!I39+(IF(Input!Z39="Planeswalker",1,0))*Input!R39</f>
        <v>0</v>
      </c>
      <c r="AF33">
        <f>IF(Input!K39=0,1,0)*Input!I39+IF(Input!T39=0,1,0)*Input!R39</f>
        <v>0</v>
      </c>
      <c r="AG33">
        <f>IF(Input!K39=1,1,0)*Input!I39+IF(Input!T39=1,1,0)*Input!R39</f>
        <v>0</v>
      </c>
      <c r="AH33">
        <f>IF(Input!K39=2,1,0)*Input!I39+IF(Input!T39=2,1,0)*Input!R39</f>
        <v>0</v>
      </c>
      <c r="AI33">
        <f>IF(Input!K39=3,1,0)*Input!I40+IF(Input!T39=3,1,0)*Input!R39</f>
        <v>0</v>
      </c>
      <c r="AJ33">
        <f>IF(Input!K39=4,1,0)*Input!I39+IF(Input!T39=4,1,0)*Input!R39</f>
        <v>0</v>
      </c>
      <c r="AK33">
        <f>IF(Input!K39=5,1,0)*Input!I39+IF(Input!T39=5,1,0)*Input!R39</f>
        <v>0</v>
      </c>
      <c r="AL33">
        <f>IF(Input!K39=6,1,0)*Input!I39+IF(Input!T39=6,1,0)*Input!R39</f>
        <v>0</v>
      </c>
      <c r="AM33">
        <f>IF(Input!K39=7,1,0)*Input!I39+IF(Input!T39=7,1,0)*Input!R39</f>
        <v>0</v>
      </c>
      <c r="AN33">
        <f>IF(Input!K39=8,1,0)*Input!I39+IF(Input!T39=8,1,0)*Input!R39</f>
        <v>0</v>
      </c>
      <c r="AO33">
        <f>IF(Input!K39=9,1,0)*Input!I39+IF(Input!T39=9,1,0)*Input!R39</f>
        <v>0</v>
      </c>
      <c r="AP33">
        <f>IF(Input!K39=10,1,0)*Input!I39+IF(Input!T39=10,1,0)*Input!R39</f>
        <v>0</v>
      </c>
      <c r="AQ33">
        <f>IF(Input!K39=11,1,0)*Input!I39+IF(Input!T39=11,1,0)*Input!R39</f>
        <v>0</v>
      </c>
      <c r="AR33">
        <f>IF(Input!K39=12,1,0)*Input!I39+IF(Input!T39=12,1,0)*Input!R39</f>
        <v>0</v>
      </c>
      <c r="AS33">
        <f>IF(Input!K39=13,1,0)*Input!I39+IF(Input!T39=13,1,0)*Input!R39</f>
        <v>0</v>
      </c>
      <c r="AT33">
        <f>IF(Input!K39=14,1,0)*Input!I39+IF(Input!T39=14,1,0)*Input!R39</f>
        <v>0</v>
      </c>
      <c r="AU33">
        <f>IF(Input!K39=15,1,0)*Input!I39+IF(Input!T39=15,1,0)*Input!R39</f>
        <v>0</v>
      </c>
      <c r="AV33">
        <f>IF(Input!K39=16,1,0)*Input!I39+IF(Input!T39=16,1,0)*Input!R39</f>
        <v>0</v>
      </c>
    </row>
    <row r="34" spans="2:48" x14ac:dyDescent="0.25">
      <c r="B34">
        <f>(IF(Input!C40="Green",1,0)+IF(Input!D40="Green",1,0)+IF(Input!E40="Green",1,0)+IF(Input!F40="Green",1,0)+IF(Input!G40="Green",1,0)+IF(Input!H40="Green",1,0))*Input!A40</f>
        <v>0</v>
      </c>
      <c r="C34">
        <f>(IF(Input!C40="Red",1,0)+IF(Input!D40="Red",1,0)+IF(Input!E40="Red",1,0)+IF(Input!F40="Red",1,0)+IF(Input!G40="Red",1,0)+IF(Input!H40="Red",1,0))*Input!A40</f>
        <v>0</v>
      </c>
      <c r="D34">
        <f>(IF(Input!C40="Blue",1,0)+IF(Input!D40="Blue",1,0)+IF(Input!E40="Blue",1,0)+IF(Input!F40="Blue",1,0)+IF(Input!G40="Blue",1,0)+IF(Input!H40="Blue",1,0))*Input!A40</f>
        <v>0</v>
      </c>
      <c r="E34">
        <f>(IF(Input!C40="White",1,0)+IF(Input!D40="White",1,0)+IF(Input!E40="White",1,0)+IF(Input!F40="White",1,0)+IF(Input!G40="White",1,0)+IF(Input!H40="White",1,0))*Input!A40</f>
        <v>0</v>
      </c>
      <c r="F34">
        <f>(IF(Input!C40="Black",1,0)+IF(Input!D40="Black",1,0)+IF(Input!E40="Black",1,0)+IF(Input!F40="Black",1,0)+IF(Input!G40="Black",1,0)+IF(Input!H40="Black",1,0))*Input!A40</f>
        <v>0</v>
      </c>
      <c r="G34">
        <f>(IF(Input!C40="Colorless",1,0)+IF(Input!D40="Colorless",1,0)+IF(Input!E40="Colorless",1,0)+IF(Input!F40="Colorless",1,0)+IF(Input!G40="Colorless",1,0)+IF(Input!H40="Colorless",1,0))*Input!A40</f>
        <v>0</v>
      </c>
      <c r="J34">
        <f>(IF(Input!L40="Green",1,0)+IF(Input!M40="Green",1,0)+IF(Input!N40="Green",1,0)+IF(Input!O40="Green",1,0)+IF(Input!P40="Green",1,0))*Input!I40+(IF(Input!U40="Green",1,0)+IF(Input!V40="Green",1,0)+IF(Input!W40="Green",1,0)+IF(Input!X40="Green",1,0)+IF(Input!Y40="Green",1,0))*Input!R40</f>
        <v>0</v>
      </c>
      <c r="K34">
        <f>(IF(Input!L40="Red",1,0)+IF(Input!M40="Red",1,0)+IF(Input!N40="Red",1,0)+IF(Input!O40="Red",1,0)+IF(Input!P40="Red",1,0))*Input!I40+(IF(Input!U40="Red",1,0)+IF(Input!V40="Red",1,0)+IF(Input!W40="Red",1,0)+IF(Input!X40="Red",1,0)+IF(Input!Y40="Red",1,0))*Input!R40</f>
        <v>0</v>
      </c>
      <c r="L34">
        <f>(IF(Input!L40="Blue",1,0)+IF(Input!M40="Blue",1,0)+IF(Input!N40="Blue",1,0)+IF(Input!O40="Blue",1,0)+IF(Input!P40="Blue",1,0))*Input!I40+(IF(Input!U40="Blue",1,0)+IF(Input!V40="Blue",1,0)+IF(Input!W40="Blue",1,0)+IF(Input!X40="Blue",1,0)+IF(Input!Y40="Blue",1,0))*Input!R40</f>
        <v>0</v>
      </c>
      <c r="M34">
        <f>(IF(Input!L40="White",1,0)+IF(Input!M40="White",1,0)+IF(Input!N40="White",1,0)+IF(Input!O40="White",1,0)+IF(Input!P40="White",1,0))*Input!I40+(IF(Input!U40="White",1,0)+IF(Input!V40="White",1,0)+IF(Input!W40="White",1,0)+IF(Input!X40="White",1,0)+IF(Input!Y40="White",1,0))*Input!R40</f>
        <v>0</v>
      </c>
      <c r="N34">
        <f>(IF(Input!L40="Black",1,0)+IF(Input!M40="Black",1,0)+IF(Input!N40="Black",1,0)+IF(Input!O40="Black",1,0)+IF(Input!P40="Black",1,0))*Input!I40+(IF(Input!U40="Black",1,0)+IF(Input!V40="Black",1,0)+IF(Input!W40="Black",1,0)+IF(Input!X40="Black",1,0)+IF(Input!Y40="Black",1,0))*Input!R40</f>
        <v>0</v>
      </c>
      <c r="O34">
        <f>(IF(Input!L40="Colorless",1,0)+IF(Input!M40="Colorless",1,0)+IF(Input!N40="Colorless",1,0)+IF(Input!O40="Colorless",1,0)+IF(Input!P40="Colorless",1,0))*Input!I40+(IF(Input!U40="Colorless",1,0)+IF(Input!V40="Colorless",1,0)+IF(Input!W40="Colorless",1,0)+IF(Input!X40="Colorless",1,0)+IF(Input!Y40="Colorless",1,0))*Input!R40</f>
        <v>0</v>
      </c>
      <c r="Q34">
        <f>(IF(Input!Q40="Sorcery",1,0))*Input!I40+(IF(Input!Z40="Sorcery",1,0))*Input!R40</f>
        <v>0</v>
      </c>
      <c r="R34">
        <f>(IF(Input!Q40="Instant",1,0))*Input!I40+(IF(Input!Z40="Instant",1,0))*Input!R40</f>
        <v>0</v>
      </c>
      <c r="S34">
        <f>(IF(Input!Q40="Artifact",1,0))*Input!I40+(IF(Input!Z40="Artifact",1,0))*Input!R40</f>
        <v>0</v>
      </c>
      <c r="T34">
        <f>(IF(Input!Q40="Enchantment",1,0))*Input!I40+(IF(Input!Z40="Enchantment",1,0))*Input!R40</f>
        <v>0</v>
      </c>
      <c r="U34">
        <f>(IF(Input!Q40="Creature",1,0))*Input!I40+(IF(Input!Z40="Creature",1,0))*Input!R40</f>
        <v>0</v>
      </c>
      <c r="V34">
        <f>(IF(Input!Q40="Planeswalker",1,0))*Input!I40+(IF(Input!Z40="Planeswalker",1,0))*Input!R40</f>
        <v>0</v>
      </c>
      <c r="AF34">
        <f>IF(Input!K40=0,1,0)*Input!I40+IF(Input!T40=0,1,0)*Input!R40</f>
        <v>0</v>
      </c>
      <c r="AG34">
        <f>IF(Input!K40=1,1,0)*Input!I40+IF(Input!T40=1,1,0)*Input!R40</f>
        <v>0</v>
      </c>
      <c r="AH34">
        <f>IF(Input!K40=2,1,0)*Input!I40+IF(Input!T40=2,1,0)*Input!R40</f>
        <v>0</v>
      </c>
      <c r="AI34">
        <f>IF(Input!K40=3,1,0)*Input!I41+IF(Input!T40=3,1,0)*Input!R40</f>
        <v>0</v>
      </c>
      <c r="AJ34">
        <f>IF(Input!K40=4,1,0)*Input!I40+IF(Input!T40=4,1,0)*Input!R40</f>
        <v>0</v>
      </c>
      <c r="AK34">
        <f>IF(Input!K40=5,1,0)*Input!I40+IF(Input!T40=5,1,0)*Input!R40</f>
        <v>0</v>
      </c>
      <c r="AL34">
        <f>IF(Input!K40=6,1,0)*Input!I40+IF(Input!T40=6,1,0)*Input!R40</f>
        <v>0</v>
      </c>
      <c r="AM34">
        <f>IF(Input!K40=7,1,0)*Input!I40+IF(Input!T40=7,1,0)*Input!R40</f>
        <v>0</v>
      </c>
      <c r="AN34">
        <f>IF(Input!K40=8,1,0)*Input!I40+IF(Input!T40=8,1,0)*Input!R40</f>
        <v>0</v>
      </c>
      <c r="AO34">
        <f>IF(Input!K40=9,1,0)*Input!I40+IF(Input!T40=9,1,0)*Input!R40</f>
        <v>0</v>
      </c>
      <c r="AP34">
        <f>IF(Input!K40=10,1,0)*Input!I40+IF(Input!T40=10,1,0)*Input!R40</f>
        <v>0</v>
      </c>
      <c r="AQ34">
        <f>IF(Input!K40=11,1,0)*Input!I40+IF(Input!T40=11,1,0)*Input!R40</f>
        <v>0</v>
      </c>
      <c r="AR34">
        <f>IF(Input!K40=12,1,0)*Input!I40+IF(Input!T40=12,1,0)*Input!R40</f>
        <v>0</v>
      </c>
      <c r="AS34">
        <f>IF(Input!K40=13,1,0)*Input!I40+IF(Input!T40=13,1,0)*Input!R40</f>
        <v>0</v>
      </c>
      <c r="AT34">
        <f>IF(Input!K40=14,1,0)*Input!I40+IF(Input!T40=14,1,0)*Input!R40</f>
        <v>0</v>
      </c>
      <c r="AU34">
        <f>IF(Input!K40=15,1,0)*Input!I40+IF(Input!T40=15,1,0)*Input!R40</f>
        <v>0</v>
      </c>
      <c r="AV34">
        <f>IF(Input!K40=16,1,0)*Input!I40+IF(Input!T40=16,1,0)*Input!R40</f>
        <v>0</v>
      </c>
    </row>
    <row r="35" spans="2:48" x14ac:dyDescent="0.25">
      <c r="B35">
        <f>(IF(Input!C41="Green",1,0)+IF(Input!D41="Green",1,0)+IF(Input!E41="Green",1,0)+IF(Input!F41="Green",1,0)+IF(Input!G41="Green",1,0)+IF(Input!H41="Green",1,0))*Input!A41</f>
        <v>0</v>
      </c>
      <c r="C35">
        <f>(IF(Input!C41="Red",1,0)+IF(Input!D41="Red",1,0)+IF(Input!E41="Red",1,0)+IF(Input!F41="Red",1,0)+IF(Input!G41="Red",1,0)+IF(Input!H41="Red",1,0))*Input!A41</f>
        <v>0</v>
      </c>
      <c r="D35">
        <f>(IF(Input!C41="Blue",1,0)+IF(Input!D41="Blue",1,0)+IF(Input!E41="Blue",1,0)+IF(Input!F41="Blue",1,0)+IF(Input!G41="Blue",1,0)+IF(Input!H41="Blue",1,0))*Input!A41</f>
        <v>0</v>
      </c>
      <c r="E35">
        <f>(IF(Input!C41="White",1,0)+IF(Input!D41="White",1,0)+IF(Input!E41="White",1,0)+IF(Input!F41="White",1,0)+IF(Input!G41="White",1,0)+IF(Input!H41="White",1,0))*Input!A41</f>
        <v>0</v>
      </c>
      <c r="F35">
        <f>(IF(Input!C41="Black",1,0)+IF(Input!D41="Black",1,0)+IF(Input!E41="Black",1,0)+IF(Input!F41="Black",1,0)+IF(Input!G41="Black",1,0)+IF(Input!H41="Black",1,0))*Input!A41</f>
        <v>0</v>
      </c>
      <c r="G35">
        <f>(IF(Input!C41="Colorless",1,0)+IF(Input!D41="Colorless",1,0)+IF(Input!E41="Colorless",1,0)+IF(Input!F41="Colorless",1,0)+IF(Input!G41="Colorless",1,0)+IF(Input!H41="Colorless",1,0))*Input!A41</f>
        <v>0</v>
      </c>
      <c r="J35">
        <f>(IF(Input!L41="Green",1,0)+IF(Input!M41="Green",1,0)+IF(Input!N41="Green",1,0)+IF(Input!O41="Green",1,0)+IF(Input!P41="Green",1,0))*Input!I41+(IF(Input!U41="Green",1,0)+IF(Input!V41="Green",1,0)+IF(Input!W41="Green",1,0)+IF(Input!X41="Green",1,0)+IF(Input!Y41="Green",1,0))*Input!R41</f>
        <v>0</v>
      </c>
      <c r="K35">
        <f>(IF(Input!L41="Red",1,0)+IF(Input!M41="Red",1,0)+IF(Input!N41="Red",1,0)+IF(Input!O41="Red",1,0)+IF(Input!P41="Red",1,0))*Input!I41+(IF(Input!U41="Red",1,0)+IF(Input!V41="Red",1,0)+IF(Input!W41="Red",1,0)+IF(Input!X41="Red",1,0)+IF(Input!Y41="Red",1,0))*Input!R41</f>
        <v>0</v>
      </c>
      <c r="L35">
        <f>(IF(Input!L41="Blue",1,0)+IF(Input!M41="Blue",1,0)+IF(Input!N41="Blue",1,0)+IF(Input!O41="Blue",1,0)+IF(Input!P41="Blue",1,0))*Input!I41+(IF(Input!U41="Blue",1,0)+IF(Input!V41="Blue",1,0)+IF(Input!W41="Blue",1,0)+IF(Input!X41="Blue",1,0)+IF(Input!Y41="Blue",1,0))*Input!R41</f>
        <v>0</v>
      </c>
      <c r="M35">
        <f>(IF(Input!L41="White",1,0)+IF(Input!M41="White",1,0)+IF(Input!N41="White",1,0)+IF(Input!O41="White",1,0)+IF(Input!P41="White",1,0))*Input!I41+(IF(Input!U41="White",1,0)+IF(Input!V41="White",1,0)+IF(Input!W41="White",1,0)+IF(Input!X41="White",1,0)+IF(Input!Y41="White",1,0))*Input!R41</f>
        <v>0</v>
      </c>
      <c r="N35">
        <f>(IF(Input!L41="Black",1,0)+IF(Input!M41="Black",1,0)+IF(Input!N41="Black",1,0)+IF(Input!O41="Black",1,0)+IF(Input!P41="Black",1,0))*Input!I41+(IF(Input!U41="Black",1,0)+IF(Input!V41="Black",1,0)+IF(Input!W41="Black",1,0)+IF(Input!X41="Black",1,0)+IF(Input!Y41="Black",1,0))*Input!R41</f>
        <v>0</v>
      </c>
      <c r="O35">
        <f>(IF(Input!L41="Colorless",1,0)+IF(Input!M41="Colorless",1,0)+IF(Input!N41="Colorless",1,0)+IF(Input!O41="Colorless",1,0)+IF(Input!P41="Colorless",1,0))*Input!I41+(IF(Input!U41="Colorless",1,0)+IF(Input!V41="Colorless",1,0)+IF(Input!W41="Colorless",1,0)+IF(Input!X41="Colorless",1,0)+IF(Input!Y41="Colorless",1,0))*Input!R41</f>
        <v>0</v>
      </c>
      <c r="Q35">
        <f>(IF(Input!Q41="Sorcery",1,0))*Input!I41+(IF(Input!Z41="Sorcery",1,0))*Input!R41</f>
        <v>0</v>
      </c>
      <c r="R35">
        <f>(IF(Input!Q41="Instant",1,0))*Input!I41+(IF(Input!Z41="Instant",1,0))*Input!R41</f>
        <v>0</v>
      </c>
      <c r="S35">
        <f>(IF(Input!Q41="Artifact",1,0))*Input!I41+(IF(Input!Z41="Artifact",1,0))*Input!R41</f>
        <v>0</v>
      </c>
      <c r="T35">
        <f>(IF(Input!Q41="Enchantment",1,0))*Input!I41+(IF(Input!Z41="Enchantment",1,0))*Input!R41</f>
        <v>0</v>
      </c>
      <c r="U35">
        <f>(IF(Input!Q41="Creature",1,0))*Input!I41+(IF(Input!Z41="Creature",1,0))*Input!R41</f>
        <v>0</v>
      </c>
      <c r="V35">
        <f>(IF(Input!Q41="Planeswalker",1,0))*Input!I41+(IF(Input!Z41="Planeswalker",1,0))*Input!R41</f>
        <v>0</v>
      </c>
      <c r="AF35">
        <f>IF(Input!K41=0,1,0)*Input!I41+IF(Input!T41=0,1,0)*Input!R41</f>
        <v>0</v>
      </c>
      <c r="AG35">
        <f>IF(Input!K41=1,1,0)*Input!I41+IF(Input!T41=1,1,0)*Input!R41</f>
        <v>0</v>
      </c>
      <c r="AH35">
        <f>IF(Input!K41=2,1,0)*Input!I41+IF(Input!T41=2,1,0)*Input!R41</f>
        <v>0</v>
      </c>
      <c r="AI35">
        <f>IF(Input!K41=3,1,0)*Input!I42+IF(Input!T41=3,1,0)*Input!R41</f>
        <v>0</v>
      </c>
      <c r="AJ35">
        <f>IF(Input!K41=4,1,0)*Input!I41+IF(Input!T41=4,1,0)*Input!R41</f>
        <v>0</v>
      </c>
      <c r="AK35">
        <f>IF(Input!K41=5,1,0)*Input!I41+IF(Input!T41=5,1,0)*Input!R41</f>
        <v>0</v>
      </c>
      <c r="AL35">
        <f>IF(Input!K41=6,1,0)*Input!I41+IF(Input!T41=6,1,0)*Input!R41</f>
        <v>0</v>
      </c>
      <c r="AM35">
        <f>IF(Input!K41=7,1,0)*Input!I41+IF(Input!T41=7,1,0)*Input!R41</f>
        <v>0</v>
      </c>
      <c r="AN35">
        <f>IF(Input!K41=8,1,0)*Input!I41+IF(Input!T41=8,1,0)*Input!R41</f>
        <v>0</v>
      </c>
      <c r="AO35">
        <f>IF(Input!K41=9,1,0)*Input!I41+IF(Input!T41=9,1,0)*Input!R41</f>
        <v>0</v>
      </c>
      <c r="AP35">
        <f>IF(Input!K41=10,1,0)*Input!I41+IF(Input!T41=10,1,0)*Input!R41</f>
        <v>0</v>
      </c>
      <c r="AQ35">
        <f>IF(Input!K41=11,1,0)*Input!I41+IF(Input!T41=11,1,0)*Input!R41</f>
        <v>0</v>
      </c>
      <c r="AR35">
        <f>IF(Input!K41=12,1,0)*Input!I41+IF(Input!T41=12,1,0)*Input!R41</f>
        <v>0</v>
      </c>
      <c r="AS35">
        <f>IF(Input!K41=13,1,0)*Input!I41+IF(Input!T41=13,1,0)*Input!R41</f>
        <v>0</v>
      </c>
      <c r="AT35">
        <f>IF(Input!K41=14,1,0)*Input!I41+IF(Input!T41=14,1,0)*Input!R41</f>
        <v>0</v>
      </c>
      <c r="AU35">
        <f>IF(Input!K41=15,1,0)*Input!I41+IF(Input!T41=15,1,0)*Input!R41</f>
        <v>0</v>
      </c>
      <c r="AV35">
        <f>IF(Input!K41=16,1,0)*Input!I41+IF(Input!T41=16,1,0)*Input!R41</f>
        <v>0</v>
      </c>
    </row>
    <row r="36" spans="2:48" x14ac:dyDescent="0.25">
      <c r="B36">
        <f>(IF(Input!C42="Green",1,0)+IF(Input!D42="Green",1,0)+IF(Input!E42="Green",1,0)+IF(Input!F42="Green",1,0)+IF(Input!G42="Green",1,0)+IF(Input!H42="Green",1,0))*Input!A42</f>
        <v>0</v>
      </c>
      <c r="C36">
        <f>(IF(Input!C42="Red",1,0)+IF(Input!D42="Red",1,0)+IF(Input!E42="Red",1,0)+IF(Input!F42="Red",1,0)+IF(Input!G42="Red",1,0)+IF(Input!H42="Red",1,0))*Input!A42</f>
        <v>0</v>
      </c>
      <c r="D36">
        <f>(IF(Input!C42="Blue",1,0)+IF(Input!D42="Blue",1,0)+IF(Input!E42="Blue",1,0)+IF(Input!F42="Blue",1,0)+IF(Input!G42="Blue",1,0)+IF(Input!H42="Blue",1,0))*Input!A42</f>
        <v>0</v>
      </c>
      <c r="E36">
        <f>(IF(Input!C42="White",1,0)+IF(Input!D42="White",1,0)+IF(Input!E42="White",1,0)+IF(Input!F42="White",1,0)+IF(Input!G42="White",1,0)+IF(Input!H42="White",1,0))*Input!A42</f>
        <v>0</v>
      </c>
      <c r="F36">
        <f>(IF(Input!C42="Black",1,0)+IF(Input!D42="Black",1,0)+IF(Input!E42="Black",1,0)+IF(Input!F42="Black",1,0)+IF(Input!G42="Black",1,0)+IF(Input!H42="Black",1,0))*Input!A42</f>
        <v>0</v>
      </c>
      <c r="G36">
        <f>(IF(Input!C42="Colorless",1,0)+IF(Input!D42="Colorless",1,0)+IF(Input!E42="Colorless",1,0)+IF(Input!F42="Colorless",1,0)+IF(Input!G42="Colorless",1,0)+IF(Input!H42="Colorless",1,0))*Input!A42</f>
        <v>0</v>
      </c>
      <c r="J36">
        <f>(IF(Input!L42="Green",1,0)+IF(Input!M42="Green",1,0)+IF(Input!N42="Green",1,0)+IF(Input!O42="Green",1,0)+IF(Input!P42="Green",1,0))*Input!I42+(IF(Input!U42="Green",1,0)+IF(Input!V42="Green",1,0)+IF(Input!W42="Green",1,0)+IF(Input!X42="Green",1,0)+IF(Input!Y42="Green",1,0))*Input!R42</f>
        <v>0</v>
      </c>
      <c r="K36">
        <f>(IF(Input!L42="Red",1,0)+IF(Input!M42="Red",1,0)+IF(Input!N42="Red",1,0)+IF(Input!O42="Red",1,0)+IF(Input!P42="Red",1,0))*Input!I42+(IF(Input!U42="Red",1,0)+IF(Input!V42="Red",1,0)+IF(Input!W42="Red",1,0)+IF(Input!X42="Red",1,0)+IF(Input!Y42="Red",1,0))*Input!R42</f>
        <v>0</v>
      </c>
      <c r="L36">
        <f>(IF(Input!L42="Blue",1,0)+IF(Input!M42="Blue",1,0)+IF(Input!N42="Blue",1,0)+IF(Input!O42="Blue",1,0)+IF(Input!P42="Blue",1,0))*Input!I42+(IF(Input!U42="Blue",1,0)+IF(Input!V42="Blue",1,0)+IF(Input!W42="Blue",1,0)+IF(Input!X42="Blue",1,0)+IF(Input!Y42="Blue",1,0))*Input!R42</f>
        <v>0</v>
      </c>
      <c r="M36">
        <f>(IF(Input!L42="White",1,0)+IF(Input!M42="White",1,0)+IF(Input!N42="White",1,0)+IF(Input!O42="White",1,0)+IF(Input!P42="White",1,0))*Input!I42+(IF(Input!U42="White",1,0)+IF(Input!V42="White",1,0)+IF(Input!W42="White",1,0)+IF(Input!X42="White",1,0)+IF(Input!Y42="White",1,0))*Input!R42</f>
        <v>0</v>
      </c>
      <c r="N36">
        <f>(IF(Input!L42="Black",1,0)+IF(Input!M42="Black",1,0)+IF(Input!N42="Black",1,0)+IF(Input!O42="Black",1,0)+IF(Input!P42="Black",1,0))*Input!I42+(IF(Input!U42="Black",1,0)+IF(Input!V42="Black",1,0)+IF(Input!W42="Black",1,0)+IF(Input!X42="Black",1,0)+IF(Input!Y42="Black",1,0))*Input!R42</f>
        <v>0</v>
      </c>
      <c r="O36">
        <f>(IF(Input!L42="Colorless",1,0)+IF(Input!M42="Colorless",1,0)+IF(Input!N42="Colorless",1,0)+IF(Input!O42="Colorless",1,0)+IF(Input!P42="Colorless",1,0))*Input!I42+(IF(Input!U42="Colorless",1,0)+IF(Input!V42="Colorless",1,0)+IF(Input!W42="Colorless",1,0)+IF(Input!X42="Colorless",1,0)+IF(Input!Y42="Colorless",1,0))*Input!R42</f>
        <v>0</v>
      </c>
      <c r="Q36">
        <f>(IF(Input!Q42="Sorcery",1,0))*Input!I42+(IF(Input!Z42="Sorcery",1,0))*Input!R42</f>
        <v>0</v>
      </c>
      <c r="R36">
        <f>(IF(Input!Q42="Instant",1,0))*Input!I42+(IF(Input!Z42="Instant",1,0))*Input!R42</f>
        <v>0</v>
      </c>
      <c r="S36">
        <f>(IF(Input!Q42="Artifact",1,0))*Input!I42+(IF(Input!Z42="Artifact",1,0))*Input!R42</f>
        <v>0</v>
      </c>
      <c r="T36">
        <f>(IF(Input!Q42="Enchantment",1,0))*Input!I42+(IF(Input!Z42="Enchantment",1,0))*Input!R42</f>
        <v>0</v>
      </c>
      <c r="U36">
        <f>(IF(Input!Q42="Creature",1,0))*Input!I42+(IF(Input!Z42="Creature",1,0))*Input!R42</f>
        <v>0</v>
      </c>
      <c r="V36">
        <f>(IF(Input!Q42="Planeswalker",1,0))*Input!I42+(IF(Input!Z42="Planeswalker",1,0))*Input!R42</f>
        <v>0</v>
      </c>
      <c r="AF36">
        <f>IF(Input!K42=0,1,0)*Input!I42+IF(Input!T42=0,1,0)*Input!R42</f>
        <v>0</v>
      </c>
      <c r="AG36">
        <f>IF(Input!K42=1,1,0)*Input!I42+IF(Input!T42=1,1,0)*Input!R42</f>
        <v>0</v>
      </c>
      <c r="AH36">
        <f>IF(Input!K42=2,1,0)*Input!I42+IF(Input!T42=2,1,0)*Input!R42</f>
        <v>0</v>
      </c>
      <c r="AI36">
        <f>IF(Input!K42=3,1,0)*Input!I43+IF(Input!T42=3,1,0)*Input!R42</f>
        <v>0</v>
      </c>
      <c r="AJ36">
        <f>IF(Input!K42=4,1,0)*Input!I42+IF(Input!T42=4,1,0)*Input!R42</f>
        <v>0</v>
      </c>
      <c r="AK36">
        <f>IF(Input!K42=5,1,0)*Input!I42+IF(Input!T42=5,1,0)*Input!R42</f>
        <v>0</v>
      </c>
      <c r="AL36">
        <f>IF(Input!K42=6,1,0)*Input!I42+IF(Input!T42=6,1,0)*Input!R42</f>
        <v>0</v>
      </c>
      <c r="AM36">
        <f>IF(Input!K42=7,1,0)*Input!I42+IF(Input!T42=7,1,0)*Input!R42</f>
        <v>0</v>
      </c>
      <c r="AN36">
        <f>IF(Input!K42=8,1,0)*Input!I42+IF(Input!T42=8,1,0)*Input!R42</f>
        <v>0</v>
      </c>
      <c r="AO36">
        <f>IF(Input!K42=9,1,0)*Input!I42+IF(Input!T42=9,1,0)*Input!R42</f>
        <v>0</v>
      </c>
      <c r="AP36">
        <f>IF(Input!K42=10,1,0)*Input!I42+IF(Input!T42=10,1,0)*Input!R42</f>
        <v>0</v>
      </c>
      <c r="AQ36">
        <f>IF(Input!K42=11,1,0)*Input!I42+IF(Input!T42=11,1,0)*Input!R42</f>
        <v>0</v>
      </c>
      <c r="AR36">
        <f>IF(Input!K42=12,1,0)*Input!I42+IF(Input!T42=12,1,0)*Input!R42</f>
        <v>0</v>
      </c>
      <c r="AS36">
        <f>IF(Input!K42=13,1,0)*Input!I42+IF(Input!T42=13,1,0)*Input!R42</f>
        <v>0</v>
      </c>
      <c r="AT36">
        <f>IF(Input!K42=14,1,0)*Input!I42+IF(Input!T42=14,1,0)*Input!R42</f>
        <v>0</v>
      </c>
      <c r="AU36">
        <f>IF(Input!K42=15,1,0)*Input!I42+IF(Input!T42=15,1,0)*Input!R42</f>
        <v>0</v>
      </c>
      <c r="AV36">
        <f>IF(Input!K42=16,1,0)*Input!I42+IF(Input!T42=16,1,0)*Input!R42</f>
        <v>0</v>
      </c>
    </row>
    <row r="37" spans="2:48" x14ac:dyDescent="0.25">
      <c r="B37">
        <f>(IF(Input!C43="Green",1,0)+IF(Input!D43="Green",1,0)+IF(Input!E43="Green",1,0)+IF(Input!F43="Green",1,0)+IF(Input!G43="Green",1,0)+IF(Input!H43="Green",1,0))*Input!A43</f>
        <v>0</v>
      </c>
      <c r="C37">
        <f>(IF(Input!C43="Red",1,0)+IF(Input!D43="Red",1,0)+IF(Input!E43="Red",1,0)+IF(Input!F43="Red",1,0)+IF(Input!G43="Red",1,0)+IF(Input!H43="Red",1,0))*Input!A43</f>
        <v>0</v>
      </c>
      <c r="D37">
        <f>(IF(Input!C43="Blue",1,0)+IF(Input!D43="Blue",1,0)+IF(Input!E43="Blue",1,0)+IF(Input!F43="Blue",1,0)+IF(Input!G43="Blue",1,0)+IF(Input!H43="Blue",1,0))*Input!A43</f>
        <v>0</v>
      </c>
      <c r="E37">
        <f>(IF(Input!C43="White",1,0)+IF(Input!D43="White",1,0)+IF(Input!E43="White",1,0)+IF(Input!F43="White",1,0)+IF(Input!G43="White",1,0)+IF(Input!H43="White",1,0))*Input!A43</f>
        <v>0</v>
      </c>
      <c r="F37">
        <f>(IF(Input!C43="Black",1,0)+IF(Input!D43="Black",1,0)+IF(Input!E43="Black",1,0)+IF(Input!F43="Black",1,0)+IF(Input!G43="Black",1,0)+IF(Input!H43="Black",1,0))*Input!A43</f>
        <v>0</v>
      </c>
      <c r="G37">
        <f>(IF(Input!C43="Colorless",1,0)+IF(Input!D43="Colorless",1,0)+IF(Input!E43="Colorless",1,0)+IF(Input!F43="Colorless",1,0)+IF(Input!G43="Colorless",1,0)+IF(Input!H43="Colorless",1,0))*Input!A43</f>
        <v>0</v>
      </c>
      <c r="J37">
        <f>(IF(Input!L43="Green",1,0)+IF(Input!M43="Green",1,0)+IF(Input!N43="Green",1,0)+IF(Input!O43="Green",1,0)+IF(Input!P43="Green",1,0))*Input!I43+(IF(Input!U43="Green",1,0)+IF(Input!V43="Green",1,0)+IF(Input!W43="Green",1,0)+IF(Input!X43="Green",1,0)+IF(Input!Y43="Green",1,0))*Input!R43</f>
        <v>0</v>
      </c>
      <c r="K37">
        <f>(IF(Input!L43="Red",1,0)+IF(Input!M43="Red",1,0)+IF(Input!N43="Red",1,0)+IF(Input!O43="Red",1,0)+IF(Input!P43="Red",1,0))*Input!I43+(IF(Input!U43="Red",1,0)+IF(Input!V43="Red",1,0)+IF(Input!W43="Red",1,0)+IF(Input!X43="Red",1,0)+IF(Input!Y43="Red",1,0))*Input!R43</f>
        <v>0</v>
      </c>
      <c r="L37">
        <f>(IF(Input!L43="Blue",1,0)+IF(Input!M43="Blue",1,0)+IF(Input!N43="Blue",1,0)+IF(Input!O43="Blue",1,0)+IF(Input!P43="Blue",1,0))*Input!I43+(IF(Input!U43="Blue",1,0)+IF(Input!V43="Blue",1,0)+IF(Input!W43="Blue",1,0)+IF(Input!X43="Blue",1,0)+IF(Input!Y43="Blue",1,0))*Input!R43</f>
        <v>0</v>
      </c>
      <c r="M37">
        <f>(IF(Input!L43="White",1,0)+IF(Input!M43="White",1,0)+IF(Input!N43="White",1,0)+IF(Input!O43="White",1,0)+IF(Input!P43="White",1,0))*Input!I43+(IF(Input!U43="White",1,0)+IF(Input!V43="White",1,0)+IF(Input!W43="White",1,0)+IF(Input!X43="White",1,0)+IF(Input!Y43="White",1,0))*Input!R43</f>
        <v>0</v>
      </c>
      <c r="N37">
        <f>(IF(Input!L43="Black",1,0)+IF(Input!M43="Black",1,0)+IF(Input!N43="Black",1,0)+IF(Input!O43="Black",1,0)+IF(Input!P43="Black",1,0))*Input!I43+(IF(Input!U43="Black",1,0)+IF(Input!V43="Black",1,0)+IF(Input!W43="Black",1,0)+IF(Input!X43="Black",1,0)+IF(Input!Y43="Black",1,0))*Input!R43</f>
        <v>0</v>
      </c>
      <c r="O37">
        <f>(IF(Input!L43="Colorless",1,0)+IF(Input!M43="Colorless",1,0)+IF(Input!N43="Colorless",1,0)+IF(Input!O43="Colorless",1,0)+IF(Input!P43="Colorless",1,0))*Input!I43+(IF(Input!U43="Colorless",1,0)+IF(Input!V43="Colorless",1,0)+IF(Input!W43="Colorless",1,0)+IF(Input!X43="Colorless",1,0)+IF(Input!Y43="Colorless",1,0))*Input!R43</f>
        <v>0</v>
      </c>
      <c r="Q37">
        <f>(IF(Input!Q43="Sorcery",1,0))*Input!I43+(IF(Input!Z43="Sorcery",1,0))*Input!R43</f>
        <v>0</v>
      </c>
      <c r="R37">
        <f>(IF(Input!Q43="Instant",1,0))*Input!I43+(IF(Input!Z43="Instant",1,0))*Input!R43</f>
        <v>0</v>
      </c>
      <c r="S37">
        <f>(IF(Input!Q43="Artifact",1,0))*Input!I43+(IF(Input!Z43="Artifact",1,0))*Input!R43</f>
        <v>0</v>
      </c>
      <c r="T37">
        <f>(IF(Input!Q43="Enchantment",1,0))*Input!I43+(IF(Input!Z43="Enchantment",1,0))*Input!R43</f>
        <v>0</v>
      </c>
      <c r="U37">
        <f>(IF(Input!Q43="Creature",1,0))*Input!I43+(IF(Input!Z43="Creature",1,0))*Input!R43</f>
        <v>0</v>
      </c>
      <c r="V37">
        <f>(IF(Input!Q43="Planeswalker",1,0))*Input!I43+(IF(Input!Z43="Planeswalker",1,0))*Input!R43</f>
        <v>0</v>
      </c>
      <c r="AF37">
        <f>IF(Input!K43=0,1,0)*Input!I43+IF(Input!T43=0,1,0)*Input!R43</f>
        <v>0</v>
      </c>
      <c r="AG37">
        <f>IF(Input!K43=1,1,0)*Input!I43+IF(Input!T43=1,1,0)*Input!R43</f>
        <v>0</v>
      </c>
      <c r="AH37">
        <f>IF(Input!K43=2,1,0)*Input!I43+IF(Input!T43=2,1,0)*Input!R43</f>
        <v>0</v>
      </c>
      <c r="AI37">
        <f>IF(Input!K43=3,1,0)*Input!I44+IF(Input!T43=3,1,0)*Input!R43</f>
        <v>0</v>
      </c>
      <c r="AJ37">
        <f>IF(Input!K43=4,1,0)*Input!I43+IF(Input!T43=4,1,0)*Input!R43</f>
        <v>0</v>
      </c>
      <c r="AK37">
        <f>IF(Input!K43=5,1,0)*Input!I43+IF(Input!T43=5,1,0)*Input!R43</f>
        <v>0</v>
      </c>
      <c r="AL37">
        <f>IF(Input!K43=6,1,0)*Input!I43+IF(Input!T43=6,1,0)*Input!R43</f>
        <v>0</v>
      </c>
      <c r="AM37">
        <f>IF(Input!K43=7,1,0)*Input!I43+IF(Input!T43=7,1,0)*Input!R43</f>
        <v>0</v>
      </c>
      <c r="AN37">
        <f>IF(Input!K43=8,1,0)*Input!I43+IF(Input!T43=8,1,0)*Input!R43</f>
        <v>0</v>
      </c>
      <c r="AO37">
        <f>IF(Input!K43=9,1,0)*Input!I43+IF(Input!T43=9,1,0)*Input!R43</f>
        <v>0</v>
      </c>
      <c r="AP37">
        <f>IF(Input!K43=10,1,0)*Input!I43+IF(Input!T43=10,1,0)*Input!R43</f>
        <v>0</v>
      </c>
      <c r="AQ37">
        <f>IF(Input!K43=11,1,0)*Input!I43+IF(Input!T43=11,1,0)*Input!R43</f>
        <v>0</v>
      </c>
      <c r="AR37">
        <f>IF(Input!K43=12,1,0)*Input!I43+IF(Input!T43=12,1,0)*Input!R43</f>
        <v>0</v>
      </c>
      <c r="AS37">
        <f>IF(Input!K43=13,1,0)*Input!I43+IF(Input!T43=13,1,0)*Input!R43</f>
        <v>0</v>
      </c>
      <c r="AT37">
        <f>IF(Input!K43=14,1,0)*Input!I43+IF(Input!T43=14,1,0)*Input!R43</f>
        <v>0</v>
      </c>
      <c r="AU37">
        <f>IF(Input!K43=15,1,0)*Input!I43+IF(Input!T43=15,1,0)*Input!R43</f>
        <v>0</v>
      </c>
      <c r="AV37">
        <f>IF(Input!K43=16,1,0)*Input!I43+IF(Input!T43=16,1,0)*Input!R43</f>
        <v>0</v>
      </c>
    </row>
    <row r="38" spans="2:48" x14ac:dyDescent="0.25">
      <c r="B38">
        <f>(IF(Input!C44="Green",1,0)+IF(Input!D44="Green",1,0)+IF(Input!E44="Green",1,0)+IF(Input!F44="Green",1,0)+IF(Input!G44="Green",1,0)+IF(Input!H44="Green",1,0))*Input!A44</f>
        <v>0</v>
      </c>
      <c r="C38">
        <f>(IF(Input!C44="Red",1,0)+IF(Input!D44="Red",1,0)+IF(Input!E44="Red",1,0)+IF(Input!F44="Red",1,0)+IF(Input!G44="Red",1,0)+IF(Input!H44="Red",1,0))*Input!A44</f>
        <v>0</v>
      </c>
      <c r="D38">
        <f>(IF(Input!C44="Blue",1,0)+IF(Input!D44="Blue",1,0)+IF(Input!E44="Blue",1,0)+IF(Input!F44="Blue",1,0)+IF(Input!G44="Blue",1,0)+IF(Input!H44="Blue",1,0))*Input!A44</f>
        <v>0</v>
      </c>
      <c r="E38">
        <f>(IF(Input!C44="White",1,0)+IF(Input!D44="White",1,0)+IF(Input!E44="White",1,0)+IF(Input!F44="White",1,0)+IF(Input!G44="White",1,0)+IF(Input!H44="White",1,0))*Input!A44</f>
        <v>0</v>
      </c>
      <c r="F38">
        <f>(IF(Input!C44="Black",1,0)+IF(Input!D44="Black",1,0)+IF(Input!E44="Black",1,0)+IF(Input!F44="Black",1,0)+IF(Input!G44="Black",1,0)+IF(Input!H44="Black",1,0))*Input!A44</f>
        <v>0</v>
      </c>
      <c r="G38">
        <f>(IF(Input!C44="Colorless",1,0)+IF(Input!D44="Colorless",1,0)+IF(Input!E44="Colorless",1,0)+IF(Input!F44="Colorless",1,0)+IF(Input!G44="Colorless",1,0)+IF(Input!H44="Colorless",1,0))*Input!A44</f>
        <v>0</v>
      </c>
      <c r="J38">
        <f>(IF(Input!L44="Green",1,0)+IF(Input!M44="Green",1,0)+IF(Input!N44="Green",1,0)+IF(Input!O44="Green",1,0)+IF(Input!P44="Green",1,0))*Input!I44+(IF(Input!U44="Green",1,0)+IF(Input!V44="Green",1,0)+IF(Input!W44="Green",1,0)+IF(Input!X44="Green",1,0)+IF(Input!Y44="Green",1,0))*Input!R44</f>
        <v>0</v>
      </c>
      <c r="K38">
        <f>(IF(Input!L44="Red",1,0)+IF(Input!M44="Red",1,0)+IF(Input!N44="Red",1,0)+IF(Input!O44="Red",1,0)+IF(Input!P44="Red",1,0))*Input!I44+(IF(Input!U44="Red",1,0)+IF(Input!V44="Red",1,0)+IF(Input!W44="Red",1,0)+IF(Input!X44="Red",1,0)+IF(Input!Y44="Red",1,0))*Input!R44</f>
        <v>0</v>
      </c>
      <c r="L38">
        <f>(IF(Input!L44="Blue",1,0)+IF(Input!M44="Blue",1,0)+IF(Input!N44="Blue",1,0)+IF(Input!O44="Blue",1,0)+IF(Input!P44="Blue",1,0))*Input!I44+(IF(Input!U44="Blue",1,0)+IF(Input!V44="Blue",1,0)+IF(Input!W44="Blue",1,0)+IF(Input!X44="Blue",1,0)+IF(Input!Y44="Blue",1,0))*Input!R44</f>
        <v>0</v>
      </c>
      <c r="M38">
        <f>(IF(Input!L44="White",1,0)+IF(Input!M44="White",1,0)+IF(Input!N44="White",1,0)+IF(Input!O44="White",1,0)+IF(Input!P44="White",1,0))*Input!I44+(IF(Input!U44="White",1,0)+IF(Input!V44="White",1,0)+IF(Input!W44="White",1,0)+IF(Input!X44="White",1,0)+IF(Input!Y44="White",1,0))*Input!R44</f>
        <v>0</v>
      </c>
      <c r="N38">
        <f>(IF(Input!L44="Black",1,0)+IF(Input!M44="Black",1,0)+IF(Input!N44="Black",1,0)+IF(Input!O44="Black",1,0)+IF(Input!P44="Black",1,0))*Input!I44+(IF(Input!U44="Black",1,0)+IF(Input!V44="Black",1,0)+IF(Input!W44="Black",1,0)+IF(Input!X44="Black",1,0)+IF(Input!Y44="Black",1,0))*Input!R44</f>
        <v>0</v>
      </c>
      <c r="O38">
        <f>(IF(Input!L44="Colorless",1,0)+IF(Input!M44="Colorless",1,0)+IF(Input!N44="Colorless",1,0)+IF(Input!O44="Colorless",1,0)+IF(Input!P44="Colorless",1,0))*Input!I44+(IF(Input!U44="Colorless",1,0)+IF(Input!V44="Colorless",1,0)+IF(Input!W44="Colorless",1,0)+IF(Input!X44="Colorless",1,0)+IF(Input!Y44="Colorless",1,0))*Input!R44</f>
        <v>0</v>
      </c>
      <c r="Q38">
        <f>(IF(Input!Q44="Sorcery",1,0))*Input!I44+(IF(Input!Z44="Sorcery",1,0))*Input!R44</f>
        <v>0</v>
      </c>
      <c r="R38">
        <f>(IF(Input!Q44="Instant",1,0))*Input!I44+(IF(Input!Z44="Instant",1,0))*Input!R44</f>
        <v>0</v>
      </c>
      <c r="S38">
        <f>(IF(Input!Q44="Artifact",1,0))*Input!I44+(IF(Input!Z44="Artifact",1,0))*Input!R44</f>
        <v>0</v>
      </c>
      <c r="T38">
        <f>(IF(Input!Q44="Enchantment",1,0))*Input!I44+(IF(Input!Z44="Enchantment",1,0))*Input!R44</f>
        <v>0</v>
      </c>
      <c r="U38">
        <f>(IF(Input!Q44="Creature",1,0))*Input!I44+(IF(Input!Z44="Creature",1,0))*Input!R44</f>
        <v>0</v>
      </c>
      <c r="V38">
        <f>(IF(Input!Q44="Planeswalker",1,0))*Input!I44+(IF(Input!Z44="Planeswalker",1,0))*Input!R44</f>
        <v>0</v>
      </c>
      <c r="AF38">
        <f>IF(Input!K44=0,1,0)*Input!I44+IF(Input!T44=0,1,0)*Input!R44</f>
        <v>0</v>
      </c>
      <c r="AG38">
        <f>IF(Input!K44=1,1,0)*Input!I44+IF(Input!T44=1,1,0)*Input!R44</f>
        <v>0</v>
      </c>
      <c r="AH38">
        <f>IF(Input!K44=2,1,0)*Input!I44+IF(Input!T44=2,1,0)*Input!R44</f>
        <v>0</v>
      </c>
      <c r="AI38">
        <f>IF(Input!K44=3,1,0)*Input!I45+IF(Input!T44=3,1,0)*Input!R44</f>
        <v>0</v>
      </c>
      <c r="AJ38">
        <f>IF(Input!K44=4,1,0)*Input!I44+IF(Input!T44=4,1,0)*Input!R44</f>
        <v>0</v>
      </c>
      <c r="AK38">
        <f>IF(Input!K44=5,1,0)*Input!I44+IF(Input!T44=5,1,0)*Input!R44</f>
        <v>0</v>
      </c>
      <c r="AL38">
        <f>IF(Input!K44=6,1,0)*Input!I44+IF(Input!T44=6,1,0)*Input!R44</f>
        <v>0</v>
      </c>
      <c r="AM38">
        <f>IF(Input!K44=7,1,0)*Input!I44+IF(Input!T44=7,1,0)*Input!R44</f>
        <v>0</v>
      </c>
      <c r="AN38">
        <f>IF(Input!K44=8,1,0)*Input!I44+IF(Input!T44=8,1,0)*Input!R44</f>
        <v>0</v>
      </c>
      <c r="AO38">
        <f>IF(Input!K44=9,1,0)*Input!I44+IF(Input!T44=9,1,0)*Input!R44</f>
        <v>0</v>
      </c>
      <c r="AP38">
        <f>IF(Input!K44=10,1,0)*Input!I44+IF(Input!T44=10,1,0)*Input!R44</f>
        <v>0</v>
      </c>
      <c r="AQ38">
        <f>IF(Input!K44=11,1,0)*Input!I44+IF(Input!T44=11,1,0)*Input!R44</f>
        <v>0</v>
      </c>
      <c r="AR38">
        <f>IF(Input!K44=12,1,0)*Input!I44+IF(Input!T44=12,1,0)*Input!R44</f>
        <v>0</v>
      </c>
      <c r="AS38">
        <f>IF(Input!K44=13,1,0)*Input!I44+IF(Input!T44=13,1,0)*Input!R44</f>
        <v>0</v>
      </c>
      <c r="AT38">
        <f>IF(Input!K44=14,1,0)*Input!I44+IF(Input!T44=14,1,0)*Input!R44</f>
        <v>0</v>
      </c>
      <c r="AU38">
        <f>IF(Input!K44=15,1,0)*Input!I44+IF(Input!T44=15,1,0)*Input!R44</f>
        <v>0</v>
      </c>
      <c r="AV38">
        <f>IF(Input!K44=16,1,0)*Input!I44+IF(Input!T44=16,1,0)*Input!R44</f>
        <v>0</v>
      </c>
    </row>
    <row r="39" spans="2:48" x14ac:dyDescent="0.25">
      <c r="B39">
        <f>(IF(Input!C45="Green",1,0)+IF(Input!D45="Green",1,0)+IF(Input!E45="Green",1,0)+IF(Input!F45="Green",1,0)+IF(Input!G45="Green",1,0)+IF(Input!H45="Green",1,0))*Input!A45</f>
        <v>0</v>
      </c>
      <c r="C39">
        <f>(IF(Input!C45="Red",1,0)+IF(Input!D45="Red",1,0)+IF(Input!E45="Red",1,0)+IF(Input!F45="Red",1,0)+IF(Input!G45="Red",1,0)+IF(Input!H45="Red",1,0))*Input!A45</f>
        <v>0</v>
      </c>
      <c r="D39">
        <f>(IF(Input!C45="Blue",1,0)+IF(Input!D45="Blue",1,0)+IF(Input!E45="Blue",1,0)+IF(Input!F45="Blue",1,0)+IF(Input!G45="Blue",1,0)+IF(Input!H45="Blue",1,0))*Input!A45</f>
        <v>0</v>
      </c>
      <c r="E39">
        <f>(IF(Input!C45="White",1,0)+IF(Input!D45="White",1,0)+IF(Input!E45="White",1,0)+IF(Input!F45="White",1,0)+IF(Input!G45="White",1,0)+IF(Input!H45="White",1,0))*Input!A45</f>
        <v>0</v>
      </c>
      <c r="F39">
        <f>(IF(Input!C45="Black",1,0)+IF(Input!D45="Black",1,0)+IF(Input!E45="Black",1,0)+IF(Input!F45="Black",1,0)+IF(Input!G45="Black",1,0)+IF(Input!H45="Black",1,0))*Input!A45</f>
        <v>0</v>
      </c>
      <c r="G39">
        <f>(IF(Input!C45="Colorless",1,0)+IF(Input!D45="Colorless",1,0)+IF(Input!E45="Colorless",1,0)+IF(Input!F45="Colorless",1,0)+IF(Input!G45="Colorless",1,0)+IF(Input!H45="Colorless",1,0))*Input!A45</f>
        <v>0</v>
      </c>
      <c r="J39">
        <f>(IF(Input!L45="Green",1,0)+IF(Input!M45="Green",1,0)+IF(Input!N45="Green",1,0)+IF(Input!O45="Green",1,0)+IF(Input!P45="Green",1,0))*Input!I45+(IF(Input!U45="Green",1,0)+IF(Input!V45="Green",1,0)+IF(Input!W45="Green",1,0)+IF(Input!X45="Green",1,0)+IF(Input!Y45="Green",1,0))*Input!R45</f>
        <v>0</v>
      </c>
      <c r="K39">
        <f>(IF(Input!L45="Red",1,0)+IF(Input!M45="Red",1,0)+IF(Input!N45="Red",1,0)+IF(Input!O45="Red",1,0)+IF(Input!P45="Red",1,0))*Input!I45+(IF(Input!U45="Red",1,0)+IF(Input!V45="Red",1,0)+IF(Input!W45="Red",1,0)+IF(Input!X45="Red",1,0)+IF(Input!Y45="Red",1,0))*Input!R45</f>
        <v>0</v>
      </c>
      <c r="L39">
        <f>(IF(Input!L45="Blue",1,0)+IF(Input!M45="Blue",1,0)+IF(Input!N45="Blue",1,0)+IF(Input!O45="Blue",1,0)+IF(Input!P45="Blue",1,0))*Input!I45+(IF(Input!U45="Blue",1,0)+IF(Input!V45="Blue",1,0)+IF(Input!W45="Blue",1,0)+IF(Input!X45="Blue",1,0)+IF(Input!Y45="Blue",1,0))*Input!R45</f>
        <v>0</v>
      </c>
      <c r="M39">
        <f>(IF(Input!L45="White",1,0)+IF(Input!M45="White",1,0)+IF(Input!N45="White",1,0)+IF(Input!O45="White",1,0)+IF(Input!P45="White",1,0))*Input!I45+(IF(Input!U45="White",1,0)+IF(Input!V45="White",1,0)+IF(Input!W45="White",1,0)+IF(Input!X45="White",1,0)+IF(Input!Y45="White",1,0))*Input!R45</f>
        <v>0</v>
      </c>
      <c r="N39">
        <f>(IF(Input!L45="Black",1,0)+IF(Input!M45="Black",1,0)+IF(Input!N45="Black",1,0)+IF(Input!O45="Black",1,0)+IF(Input!P45="Black",1,0))*Input!I45+(IF(Input!U45="Black",1,0)+IF(Input!V45="Black",1,0)+IF(Input!W45="Black",1,0)+IF(Input!X45="Black",1,0)+IF(Input!Y45="Black",1,0))*Input!R45</f>
        <v>0</v>
      </c>
      <c r="O39">
        <f>(IF(Input!L45="Colorless",1,0)+IF(Input!M45="Colorless",1,0)+IF(Input!N45="Colorless",1,0)+IF(Input!O45="Colorless",1,0)+IF(Input!P45="Colorless",1,0))*Input!I45+(IF(Input!U45="Colorless",1,0)+IF(Input!V45="Colorless",1,0)+IF(Input!W45="Colorless",1,0)+IF(Input!X45="Colorless",1,0)+IF(Input!Y45="Colorless",1,0))*Input!R45</f>
        <v>0</v>
      </c>
      <c r="Q39">
        <f>(IF(Input!Q45="Sorcery",1,0))*Input!I45+(IF(Input!Z45="Sorcery",1,0))*Input!R45</f>
        <v>0</v>
      </c>
      <c r="R39">
        <f>(IF(Input!Q45="Instant",1,0))*Input!I45+(IF(Input!Z45="Instant",1,0))*Input!R45</f>
        <v>0</v>
      </c>
      <c r="S39">
        <f>(IF(Input!Q45="Artifact",1,0))*Input!I45+(IF(Input!Z45="Artifact",1,0))*Input!R45</f>
        <v>0</v>
      </c>
      <c r="T39">
        <f>(IF(Input!Q45="Enchantment",1,0))*Input!I45+(IF(Input!Z45="Enchantment",1,0))*Input!R45</f>
        <v>0</v>
      </c>
      <c r="U39">
        <f>(IF(Input!Q45="Creature",1,0))*Input!I45+(IF(Input!Z45="Creature",1,0))*Input!R45</f>
        <v>0</v>
      </c>
      <c r="V39">
        <f>(IF(Input!Q45="Planeswalker",1,0))*Input!I45+(IF(Input!Z45="Planeswalker",1,0))*Input!R45</f>
        <v>0</v>
      </c>
      <c r="AF39">
        <f>IF(Input!K45=0,1,0)*Input!I45+IF(Input!T45=0,1,0)*Input!R45</f>
        <v>0</v>
      </c>
      <c r="AG39">
        <f>IF(Input!K45=1,1,0)*Input!I45+IF(Input!T45=1,1,0)*Input!R45</f>
        <v>0</v>
      </c>
      <c r="AH39">
        <f>IF(Input!K45=2,1,0)*Input!I45+IF(Input!T45=2,1,0)*Input!R45</f>
        <v>0</v>
      </c>
      <c r="AI39">
        <f>IF(Input!K45=3,1,0)*Input!I46+IF(Input!T45=3,1,0)*Input!R45</f>
        <v>0</v>
      </c>
      <c r="AJ39">
        <f>IF(Input!K45=4,1,0)*Input!I45+IF(Input!T45=4,1,0)*Input!R45</f>
        <v>0</v>
      </c>
      <c r="AK39">
        <f>IF(Input!K45=5,1,0)*Input!I45+IF(Input!T45=5,1,0)*Input!R45</f>
        <v>0</v>
      </c>
      <c r="AL39">
        <f>IF(Input!K45=6,1,0)*Input!I45+IF(Input!T45=6,1,0)*Input!R45</f>
        <v>0</v>
      </c>
      <c r="AM39">
        <f>IF(Input!K45=7,1,0)*Input!I45+IF(Input!T45=7,1,0)*Input!R45</f>
        <v>0</v>
      </c>
      <c r="AN39">
        <f>IF(Input!K45=8,1,0)*Input!I45+IF(Input!T45=8,1,0)*Input!R45</f>
        <v>0</v>
      </c>
      <c r="AO39">
        <f>IF(Input!K45=9,1,0)*Input!I45+IF(Input!T45=9,1,0)*Input!R45</f>
        <v>0</v>
      </c>
      <c r="AP39">
        <f>IF(Input!K45=10,1,0)*Input!I45+IF(Input!T45=10,1,0)*Input!R45</f>
        <v>0</v>
      </c>
      <c r="AQ39">
        <f>IF(Input!K45=11,1,0)*Input!I45+IF(Input!T45=11,1,0)*Input!R45</f>
        <v>0</v>
      </c>
      <c r="AR39">
        <f>IF(Input!K45=12,1,0)*Input!I45+IF(Input!T45=12,1,0)*Input!R45</f>
        <v>0</v>
      </c>
      <c r="AS39">
        <f>IF(Input!K45=13,1,0)*Input!I45+IF(Input!T45=13,1,0)*Input!R45</f>
        <v>0</v>
      </c>
      <c r="AT39">
        <f>IF(Input!K45=14,1,0)*Input!I45+IF(Input!T45=14,1,0)*Input!R45</f>
        <v>0</v>
      </c>
      <c r="AU39">
        <f>IF(Input!K45=15,1,0)*Input!I45+IF(Input!T45=15,1,0)*Input!R45</f>
        <v>0</v>
      </c>
      <c r="AV39">
        <f>IF(Input!K45=16,1,0)*Input!I45+IF(Input!T45=16,1,0)*Input!R45</f>
        <v>0</v>
      </c>
    </row>
    <row r="40" spans="2:48" x14ac:dyDescent="0.25">
      <c r="B40">
        <f>(IF(Input!C46="Green",1,0)+IF(Input!D46="Green",1,0)+IF(Input!E46="Green",1,0)+IF(Input!F46="Green",1,0)+IF(Input!G46="Green",1,0)+IF(Input!H46="Green",1,0))*Input!A46</f>
        <v>0</v>
      </c>
      <c r="C40">
        <f>(IF(Input!C46="Red",1,0)+IF(Input!D46="Red",1,0)+IF(Input!E46="Red",1,0)+IF(Input!F46="Red",1,0)+IF(Input!G46="Red",1,0)+IF(Input!H46="Red",1,0))*Input!A46</f>
        <v>0</v>
      </c>
      <c r="D40">
        <f>(IF(Input!C46="Blue",1,0)+IF(Input!D46="Blue",1,0)+IF(Input!E46="Blue",1,0)+IF(Input!F46="Blue",1,0)+IF(Input!G46="Blue",1,0)+IF(Input!H46="Blue",1,0))*Input!A46</f>
        <v>0</v>
      </c>
      <c r="E40">
        <f>(IF(Input!C46="White",1,0)+IF(Input!D46="White",1,0)+IF(Input!E46="White",1,0)+IF(Input!F46="White",1,0)+IF(Input!G46="White",1,0)+IF(Input!H46="White",1,0))*Input!A46</f>
        <v>0</v>
      </c>
      <c r="F40">
        <f>(IF(Input!C46="Black",1,0)+IF(Input!D46="Black",1,0)+IF(Input!E46="Black",1,0)+IF(Input!F46="Black",1,0)+IF(Input!G46="Black",1,0)+IF(Input!H46="Black",1,0))*Input!A46</f>
        <v>0</v>
      </c>
      <c r="G40">
        <f>(IF(Input!C46="Colorless",1,0)+IF(Input!D46="Colorless",1,0)+IF(Input!E46="Colorless",1,0)+IF(Input!F46="Colorless",1,0)+IF(Input!G46="Colorless",1,0)+IF(Input!H46="Colorless",1,0))*Input!A46</f>
        <v>0</v>
      </c>
      <c r="J40">
        <f>(IF(Input!L46="Green",1,0)+IF(Input!M46="Green",1,0)+IF(Input!N46="Green",1,0)+IF(Input!O46="Green",1,0)+IF(Input!P46="Green",1,0))*Input!I46+(IF(Input!U46="Green",1,0)+IF(Input!V46="Green",1,0)+IF(Input!W46="Green",1,0)+IF(Input!X46="Green",1,0)+IF(Input!Y46="Green",1,0))*Input!R46</f>
        <v>0</v>
      </c>
      <c r="K40">
        <f>(IF(Input!L46="Red",1,0)+IF(Input!M46="Red",1,0)+IF(Input!N46="Red",1,0)+IF(Input!O46="Red",1,0)+IF(Input!P46="Red",1,0))*Input!I46+(IF(Input!U46="Red",1,0)+IF(Input!V46="Red",1,0)+IF(Input!W46="Red",1,0)+IF(Input!X46="Red",1,0)+IF(Input!Y46="Red",1,0))*Input!R46</f>
        <v>0</v>
      </c>
      <c r="L40">
        <f>(IF(Input!L46="Blue",1,0)+IF(Input!M46="Blue",1,0)+IF(Input!N46="Blue",1,0)+IF(Input!O46="Blue",1,0)+IF(Input!P46="Blue",1,0))*Input!I46+(IF(Input!U46="Blue",1,0)+IF(Input!V46="Blue",1,0)+IF(Input!W46="Blue",1,0)+IF(Input!X46="Blue",1,0)+IF(Input!Y46="Blue",1,0))*Input!R46</f>
        <v>0</v>
      </c>
      <c r="M40">
        <f>(IF(Input!L46="White",1,0)+IF(Input!M46="White",1,0)+IF(Input!N46="White",1,0)+IF(Input!O46="White",1,0)+IF(Input!P46="White",1,0))*Input!I46+(IF(Input!U46="White",1,0)+IF(Input!V46="White",1,0)+IF(Input!W46="White",1,0)+IF(Input!X46="White",1,0)+IF(Input!Y46="White",1,0))*Input!R46</f>
        <v>0</v>
      </c>
      <c r="N40">
        <f>(IF(Input!L46="Black",1,0)+IF(Input!M46="Black",1,0)+IF(Input!N46="Black",1,0)+IF(Input!O46="Black",1,0)+IF(Input!P46="Black",1,0))*Input!I46+(IF(Input!U46="Black",1,0)+IF(Input!V46="Black",1,0)+IF(Input!W46="Black",1,0)+IF(Input!X46="Black",1,0)+IF(Input!Y46="Black",1,0))*Input!R46</f>
        <v>0</v>
      </c>
      <c r="O40">
        <f>(IF(Input!L46="Colorless",1,0)+IF(Input!M46="Colorless",1,0)+IF(Input!N46="Colorless",1,0)+IF(Input!O46="Colorless",1,0)+IF(Input!P46="Colorless",1,0))*Input!I46+(IF(Input!U46="Colorless",1,0)+IF(Input!V46="Colorless",1,0)+IF(Input!W46="Colorless",1,0)+IF(Input!X46="Colorless",1,0)+IF(Input!Y46="Colorless",1,0))*Input!R46</f>
        <v>0</v>
      </c>
      <c r="Q40">
        <f>(IF(Input!Q46="Sorcery",1,0))*Input!I46+(IF(Input!Z46="Sorcery",1,0))*Input!R46</f>
        <v>0</v>
      </c>
      <c r="R40">
        <f>(IF(Input!Q46="Instant",1,0))*Input!I46+(IF(Input!Z46="Instant",1,0))*Input!R46</f>
        <v>0</v>
      </c>
      <c r="S40">
        <f>(IF(Input!Q46="Artifact",1,0))*Input!I46+(IF(Input!Z46="Artifact",1,0))*Input!R46</f>
        <v>0</v>
      </c>
      <c r="T40">
        <f>(IF(Input!Q46="Enchantment",1,0))*Input!I46+(IF(Input!Z46="Enchantment",1,0))*Input!R46</f>
        <v>0</v>
      </c>
      <c r="U40">
        <f>(IF(Input!Q46="Creature",1,0))*Input!I46+(IF(Input!Z46="Creature",1,0))*Input!R46</f>
        <v>0</v>
      </c>
      <c r="V40">
        <f>(IF(Input!Q46="Planeswalker",1,0))*Input!I46+(IF(Input!Z46="Planeswalker",1,0))*Input!R46</f>
        <v>0</v>
      </c>
      <c r="AF40">
        <f>IF(Input!K46=0,1,0)*Input!I46+IF(Input!T46=0,1,0)*Input!R46</f>
        <v>0</v>
      </c>
      <c r="AG40">
        <f>IF(Input!K46=1,1,0)*Input!I46+IF(Input!T46=1,1,0)*Input!R46</f>
        <v>0</v>
      </c>
      <c r="AH40">
        <f>IF(Input!K46=2,1,0)*Input!I46+IF(Input!T46=2,1,0)*Input!R46</f>
        <v>0</v>
      </c>
      <c r="AI40">
        <f>IF(Input!K46=3,1,0)*Input!I47+IF(Input!T46=3,1,0)*Input!R46</f>
        <v>0</v>
      </c>
      <c r="AJ40">
        <f>IF(Input!K46=4,1,0)*Input!I46+IF(Input!T46=4,1,0)*Input!R46</f>
        <v>0</v>
      </c>
      <c r="AK40">
        <f>IF(Input!K46=5,1,0)*Input!I46+IF(Input!T46=5,1,0)*Input!R46</f>
        <v>0</v>
      </c>
      <c r="AL40">
        <f>IF(Input!K46=6,1,0)*Input!I46+IF(Input!T46=6,1,0)*Input!R46</f>
        <v>0</v>
      </c>
      <c r="AM40">
        <f>IF(Input!K46=7,1,0)*Input!I46+IF(Input!T46=7,1,0)*Input!R46</f>
        <v>0</v>
      </c>
      <c r="AN40">
        <f>IF(Input!K46=8,1,0)*Input!I46+IF(Input!T46=8,1,0)*Input!R46</f>
        <v>0</v>
      </c>
      <c r="AO40">
        <f>IF(Input!K46=9,1,0)*Input!I46+IF(Input!T46=9,1,0)*Input!R46</f>
        <v>0</v>
      </c>
      <c r="AP40">
        <f>IF(Input!K46=10,1,0)*Input!I46+IF(Input!T46=10,1,0)*Input!R46</f>
        <v>0</v>
      </c>
      <c r="AQ40">
        <f>IF(Input!K46=11,1,0)*Input!I46+IF(Input!T46=11,1,0)*Input!R46</f>
        <v>0</v>
      </c>
      <c r="AR40">
        <f>IF(Input!K46=12,1,0)*Input!I46+IF(Input!T46=12,1,0)*Input!R46</f>
        <v>0</v>
      </c>
      <c r="AS40">
        <f>IF(Input!K46=13,1,0)*Input!I46+IF(Input!T46=13,1,0)*Input!R46</f>
        <v>0</v>
      </c>
      <c r="AT40">
        <f>IF(Input!K46=14,1,0)*Input!I46+IF(Input!T46=14,1,0)*Input!R46</f>
        <v>0</v>
      </c>
      <c r="AU40">
        <f>IF(Input!K46=15,1,0)*Input!I46+IF(Input!T46=15,1,0)*Input!R46</f>
        <v>0</v>
      </c>
      <c r="AV40">
        <f>IF(Input!K46=16,1,0)*Input!I46+IF(Input!T46=16,1,0)*Input!R46</f>
        <v>0</v>
      </c>
    </row>
    <row r="41" spans="2:48" x14ac:dyDescent="0.25">
      <c r="B41">
        <f>(IF(Input!C47="Green",1,0)+IF(Input!D47="Green",1,0)+IF(Input!E47="Green",1,0)+IF(Input!F47="Green",1,0)+IF(Input!G47="Green",1,0)+IF(Input!H47="Green",1,0))*Input!A47</f>
        <v>0</v>
      </c>
      <c r="C41">
        <f>(IF(Input!C47="Red",1,0)+IF(Input!D47="Red",1,0)+IF(Input!E47="Red",1,0)+IF(Input!F47="Red",1,0)+IF(Input!G47="Red",1,0)+IF(Input!H47="Red",1,0))*Input!A47</f>
        <v>0</v>
      </c>
      <c r="D41">
        <f>(IF(Input!C47="Blue",1,0)+IF(Input!D47="Blue",1,0)+IF(Input!E47="Blue",1,0)+IF(Input!F47="Blue",1,0)+IF(Input!G47="Blue",1,0)+IF(Input!H47="Blue",1,0))*Input!A47</f>
        <v>0</v>
      </c>
      <c r="E41">
        <f>(IF(Input!C47="White",1,0)+IF(Input!D47="White",1,0)+IF(Input!E47="White",1,0)+IF(Input!F47="White",1,0)+IF(Input!G47="White",1,0)+IF(Input!H47="White",1,0))*Input!A47</f>
        <v>0</v>
      </c>
      <c r="F41">
        <f>(IF(Input!C47="Black",1,0)+IF(Input!D47="Black",1,0)+IF(Input!E47="Black",1,0)+IF(Input!F47="Black",1,0)+IF(Input!G47="Black",1,0)+IF(Input!H47="Black",1,0))*Input!A47</f>
        <v>0</v>
      </c>
      <c r="G41">
        <f>(IF(Input!C47="Colorless",1,0)+IF(Input!D47="Colorless",1,0)+IF(Input!E47="Colorless",1,0)+IF(Input!F47="Colorless",1,0)+IF(Input!G47="Colorless",1,0)+IF(Input!H47="Colorless",1,0))*Input!A47</f>
        <v>0</v>
      </c>
      <c r="J41">
        <f>(IF(Input!L47="Green",1,0)+IF(Input!M47="Green",1,0)+IF(Input!N47="Green",1,0)+IF(Input!O47="Green",1,0)+IF(Input!P47="Green",1,0))*Input!I47+(IF(Input!U47="Green",1,0)+IF(Input!V47="Green",1,0)+IF(Input!W47="Green",1,0)+IF(Input!X47="Green",1,0)+IF(Input!Y47="Green",1,0))*Input!R47</f>
        <v>0</v>
      </c>
      <c r="K41">
        <f>(IF(Input!L47="Red",1,0)+IF(Input!M47="Red",1,0)+IF(Input!N47="Red",1,0)+IF(Input!O47="Red",1,0)+IF(Input!P47="Red",1,0))*Input!I47+(IF(Input!U47="Red",1,0)+IF(Input!V47="Red",1,0)+IF(Input!W47="Red",1,0)+IF(Input!X47="Red",1,0)+IF(Input!Y47="Red",1,0))*Input!R47</f>
        <v>0</v>
      </c>
      <c r="L41">
        <f>(IF(Input!L47="Blue",1,0)+IF(Input!M47="Blue",1,0)+IF(Input!N47="Blue",1,0)+IF(Input!O47="Blue",1,0)+IF(Input!P47="Blue",1,0))*Input!I47+(IF(Input!U47="Blue",1,0)+IF(Input!V47="Blue",1,0)+IF(Input!W47="Blue",1,0)+IF(Input!X47="Blue",1,0)+IF(Input!Y47="Blue",1,0))*Input!R47</f>
        <v>0</v>
      </c>
      <c r="M41">
        <f>(IF(Input!L47="White",1,0)+IF(Input!M47="White",1,0)+IF(Input!N47="White",1,0)+IF(Input!O47="White",1,0)+IF(Input!P47="White",1,0))*Input!I47+(IF(Input!U47="White",1,0)+IF(Input!V47="White",1,0)+IF(Input!W47="White",1,0)+IF(Input!X47="White",1,0)+IF(Input!Y47="White",1,0))*Input!R47</f>
        <v>0</v>
      </c>
      <c r="N41">
        <f>(IF(Input!L47="Black",1,0)+IF(Input!M47="Black",1,0)+IF(Input!N47="Black",1,0)+IF(Input!O47="Black",1,0)+IF(Input!P47="Black",1,0))*Input!I47+(IF(Input!U47="Black",1,0)+IF(Input!V47="Black",1,0)+IF(Input!W47="Black",1,0)+IF(Input!X47="Black",1,0)+IF(Input!Y47="Black",1,0))*Input!R47</f>
        <v>0</v>
      </c>
      <c r="O41">
        <f>(IF(Input!L47="Colorless",1,0)+IF(Input!M47="Colorless",1,0)+IF(Input!N47="Colorless",1,0)+IF(Input!O47="Colorless",1,0)+IF(Input!P47="Colorless",1,0))*Input!I47+(IF(Input!U47="Colorless",1,0)+IF(Input!V47="Colorless",1,0)+IF(Input!W47="Colorless",1,0)+IF(Input!X47="Colorless",1,0)+IF(Input!Y47="Colorless",1,0))*Input!R47</f>
        <v>0</v>
      </c>
      <c r="Q41">
        <f>(IF(Input!Q47="Sorcery",1,0))*Input!I47+(IF(Input!Z47="Sorcery",1,0))*Input!R47</f>
        <v>0</v>
      </c>
      <c r="R41">
        <f>(IF(Input!Q47="Instant",1,0))*Input!I47+(IF(Input!Z47="Instant",1,0))*Input!R47</f>
        <v>0</v>
      </c>
      <c r="S41">
        <f>(IF(Input!Q47="Artifact",1,0))*Input!I47+(IF(Input!Z47="Artifact",1,0))*Input!R47</f>
        <v>0</v>
      </c>
      <c r="T41">
        <f>(IF(Input!Q47="Enchantment",1,0))*Input!I47+(IF(Input!Z47="Enchantment",1,0))*Input!R47</f>
        <v>0</v>
      </c>
      <c r="U41">
        <f>(IF(Input!Q47="Creature",1,0))*Input!I47+(IF(Input!Z47="Creature",1,0))*Input!R47</f>
        <v>0</v>
      </c>
      <c r="V41">
        <f>(IF(Input!Q47="Planeswalker",1,0))*Input!I47+(IF(Input!Z47="Planeswalker",1,0))*Input!R47</f>
        <v>0</v>
      </c>
      <c r="AF41">
        <f>IF(Input!K47=0,1,0)*Input!I47+IF(Input!T47=0,1,0)*Input!R47</f>
        <v>0</v>
      </c>
      <c r="AG41">
        <f>IF(Input!K47=1,1,0)*Input!I47+IF(Input!T47=1,1,0)*Input!R47</f>
        <v>0</v>
      </c>
      <c r="AH41">
        <f>IF(Input!K47=2,1,0)*Input!I47+IF(Input!T47=2,1,0)*Input!R47</f>
        <v>0</v>
      </c>
      <c r="AI41">
        <f>IF(Input!K47=3,1,0)*Input!I48+IF(Input!T47=3,1,0)*Input!R47</f>
        <v>0</v>
      </c>
      <c r="AJ41">
        <f>IF(Input!K47=4,1,0)*Input!I47+IF(Input!T47=4,1,0)*Input!R47</f>
        <v>0</v>
      </c>
      <c r="AK41">
        <f>IF(Input!K47=5,1,0)*Input!I47+IF(Input!T47=5,1,0)*Input!R47</f>
        <v>0</v>
      </c>
      <c r="AL41">
        <f>IF(Input!K47=6,1,0)*Input!I47+IF(Input!T47=6,1,0)*Input!R47</f>
        <v>0</v>
      </c>
      <c r="AM41">
        <f>IF(Input!K47=7,1,0)*Input!I47+IF(Input!T47=7,1,0)*Input!R47</f>
        <v>0</v>
      </c>
      <c r="AN41">
        <f>IF(Input!K47=8,1,0)*Input!I47+IF(Input!T47=8,1,0)*Input!R47</f>
        <v>0</v>
      </c>
      <c r="AO41">
        <f>IF(Input!K47=9,1,0)*Input!I47+IF(Input!T47=9,1,0)*Input!R47</f>
        <v>0</v>
      </c>
      <c r="AP41">
        <f>IF(Input!K47=10,1,0)*Input!I47+IF(Input!T47=10,1,0)*Input!R47</f>
        <v>0</v>
      </c>
      <c r="AQ41">
        <f>IF(Input!K47=11,1,0)*Input!I47+IF(Input!T47=11,1,0)*Input!R47</f>
        <v>0</v>
      </c>
      <c r="AR41">
        <f>IF(Input!K47=12,1,0)*Input!I47+IF(Input!T47=12,1,0)*Input!R47</f>
        <v>0</v>
      </c>
      <c r="AS41">
        <f>IF(Input!K47=13,1,0)*Input!I47+IF(Input!T47=13,1,0)*Input!R47</f>
        <v>0</v>
      </c>
      <c r="AT41">
        <f>IF(Input!K47=14,1,0)*Input!I47+IF(Input!T47=14,1,0)*Input!R47</f>
        <v>0</v>
      </c>
      <c r="AU41">
        <f>IF(Input!K47=15,1,0)*Input!I47+IF(Input!T47=15,1,0)*Input!R47</f>
        <v>0</v>
      </c>
      <c r="AV41">
        <f>IF(Input!K47=16,1,0)*Input!I47+IF(Input!T47=16,1,0)*Input!R47</f>
        <v>0</v>
      </c>
    </row>
    <row r="42" spans="2:48" x14ac:dyDescent="0.25">
      <c r="B42">
        <f>(IF(Input!C48="Green",1,0)+IF(Input!D48="Green",1,0)+IF(Input!E48="Green",1,0)+IF(Input!F48="Green",1,0)+IF(Input!G48="Green",1,0)+IF(Input!H48="Green",1,0))*Input!A48</f>
        <v>0</v>
      </c>
      <c r="C42">
        <f>(IF(Input!C48="Red",1,0)+IF(Input!D48="Red",1,0)+IF(Input!E48="Red",1,0)+IF(Input!F48="Red",1,0)+IF(Input!G48="Red",1,0)+IF(Input!H48="Red",1,0))*Input!A48</f>
        <v>0</v>
      </c>
      <c r="D42">
        <f>(IF(Input!C48="Blue",1,0)+IF(Input!D48="Blue",1,0)+IF(Input!E48="Blue",1,0)+IF(Input!F48="Blue",1,0)+IF(Input!G48="Blue",1,0)+IF(Input!H48="Blue",1,0))*Input!A48</f>
        <v>0</v>
      </c>
      <c r="E42">
        <f>(IF(Input!C48="White",1,0)+IF(Input!D48="White",1,0)+IF(Input!E48="White",1,0)+IF(Input!F48="White",1,0)+IF(Input!G48="White",1,0)+IF(Input!H48="White",1,0))*Input!A48</f>
        <v>0</v>
      </c>
      <c r="F42">
        <f>(IF(Input!C48="Black",1,0)+IF(Input!D48="Black",1,0)+IF(Input!E48="Black",1,0)+IF(Input!F48="Black",1,0)+IF(Input!G48="Black",1,0)+IF(Input!H48="Black",1,0))*Input!A48</f>
        <v>0</v>
      </c>
      <c r="G42">
        <f>(IF(Input!C48="Colorless",1,0)+IF(Input!D48="Colorless",1,0)+IF(Input!E48="Colorless",1,0)+IF(Input!F48="Colorless",1,0)+IF(Input!G48="Colorless",1,0)+IF(Input!H48="Colorless",1,0))*Input!A48</f>
        <v>0</v>
      </c>
      <c r="J42">
        <f>(IF(Input!L48="Green",1,0)+IF(Input!M48="Green",1,0)+IF(Input!N48="Green",1,0)+IF(Input!O48="Green",1,0)+IF(Input!P48="Green",1,0))*Input!I48+(IF(Input!U48="Green",1,0)+IF(Input!V48="Green",1,0)+IF(Input!W48="Green",1,0)+IF(Input!X48="Green",1,0)+IF(Input!Y48="Green",1,0))*Input!R48</f>
        <v>0</v>
      </c>
      <c r="K42">
        <f>(IF(Input!L48="Red",1,0)+IF(Input!M48="Red",1,0)+IF(Input!N48="Red",1,0)+IF(Input!O48="Red",1,0)+IF(Input!P48="Red",1,0))*Input!I48+(IF(Input!U48="Red",1,0)+IF(Input!V48="Red",1,0)+IF(Input!W48="Red",1,0)+IF(Input!X48="Red",1,0)+IF(Input!Y48="Red",1,0))*Input!R48</f>
        <v>0</v>
      </c>
      <c r="L42">
        <f>(IF(Input!L48="Blue",1,0)+IF(Input!M48="Blue",1,0)+IF(Input!N48="Blue",1,0)+IF(Input!O48="Blue",1,0)+IF(Input!P48="Blue",1,0))*Input!I48+(IF(Input!U48="Blue",1,0)+IF(Input!V48="Blue",1,0)+IF(Input!W48="Blue",1,0)+IF(Input!X48="Blue",1,0)+IF(Input!Y48="Blue",1,0))*Input!R48</f>
        <v>0</v>
      </c>
      <c r="M42">
        <f>(IF(Input!L48="White",1,0)+IF(Input!M48="White",1,0)+IF(Input!N48="White",1,0)+IF(Input!O48="White",1,0)+IF(Input!P48="White",1,0))*Input!I48+(IF(Input!U48="White",1,0)+IF(Input!V48="White",1,0)+IF(Input!W48="White",1,0)+IF(Input!X48="White",1,0)+IF(Input!Y48="White",1,0))*Input!R48</f>
        <v>0</v>
      </c>
      <c r="N42">
        <f>(IF(Input!L48="Black",1,0)+IF(Input!M48="Black",1,0)+IF(Input!N48="Black",1,0)+IF(Input!O48="Black",1,0)+IF(Input!P48="Black",1,0))*Input!I48+(IF(Input!U48="Black",1,0)+IF(Input!V48="Black",1,0)+IF(Input!W48="Black",1,0)+IF(Input!X48="Black",1,0)+IF(Input!Y48="Black",1,0))*Input!R48</f>
        <v>0</v>
      </c>
      <c r="O42">
        <f>(IF(Input!L48="Colorless",1,0)+IF(Input!M48="Colorless",1,0)+IF(Input!N48="Colorless",1,0)+IF(Input!O48="Colorless",1,0)+IF(Input!P48="Colorless",1,0))*Input!I48+(IF(Input!U48="Colorless",1,0)+IF(Input!V48="Colorless",1,0)+IF(Input!W48="Colorless",1,0)+IF(Input!X48="Colorless",1,0)+IF(Input!Y48="Colorless",1,0))*Input!R48</f>
        <v>0</v>
      </c>
      <c r="Q42">
        <f>(IF(Input!Q48="Sorcery",1,0))*Input!I48+(IF(Input!Z48="Sorcery",1,0))*Input!R48</f>
        <v>0</v>
      </c>
      <c r="R42">
        <f>(IF(Input!Q48="Instant",1,0))*Input!I48+(IF(Input!Z48="Instant",1,0))*Input!R48</f>
        <v>0</v>
      </c>
      <c r="S42">
        <f>(IF(Input!Q48="Artifact",1,0))*Input!I48+(IF(Input!Z48="Artifact",1,0))*Input!R48</f>
        <v>0</v>
      </c>
      <c r="T42">
        <f>(IF(Input!Q48="Enchantment",1,0))*Input!I48+(IF(Input!Z48="Enchantment",1,0))*Input!R48</f>
        <v>0</v>
      </c>
      <c r="U42">
        <f>(IF(Input!Q48="Creature",1,0))*Input!I48+(IF(Input!Z48="Creature",1,0))*Input!R48</f>
        <v>0</v>
      </c>
      <c r="V42">
        <f>(IF(Input!Q48="Planeswalker",1,0))*Input!I48+(IF(Input!Z48="Planeswalker",1,0))*Input!R48</f>
        <v>0</v>
      </c>
      <c r="AF42">
        <f>IF(Input!K48=0,1,0)*Input!I48+IF(Input!T48=0,1,0)*Input!R48</f>
        <v>0</v>
      </c>
      <c r="AG42">
        <f>IF(Input!K48=1,1,0)*Input!I48+IF(Input!T48=1,1,0)*Input!R48</f>
        <v>0</v>
      </c>
      <c r="AH42">
        <f>IF(Input!K48=2,1,0)*Input!I48+IF(Input!T48=2,1,0)*Input!R48</f>
        <v>0</v>
      </c>
      <c r="AI42">
        <f>IF(Input!K48=3,1,0)*Input!I49+IF(Input!T48=3,1,0)*Input!R48</f>
        <v>0</v>
      </c>
      <c r="AJ42">
        <f>IF(Input!K48=4,1,0)*Input!I48+IF(Input!T48=4,1,0)*Input!R48</f>
        <v>0</v>
      </c>
      <c r="AK42">
        <f>IF(Input!K48=5,1,0)*Input!I48+IF(Input!T48=5,1,0)*Input!R48</f>
        <v>0</v>
      </c>
      <c r="AL42">
        <f>IF(Input!K48=6,1,0)*Input!I48+IF(Input!T48=6,1,0)*Input!R48</f>
        <v>0</v>
      </c>
      <c r="AM42">
        <f>IF(Input!K48=7,1,0)*Input!I48+IF(Input!T48=7,1,0)*Input!R48</f>
        <v>0</v>
      </c>
      <c r="AN42">
        <f>IF(Input!K48=8,1,0)*Input!I48+IF(Input!T48=8,1,0)*Input!R48</f>
        <v>0</v>
      </c>
      <c r="AO42">
        <f>IF(Input!K48=9,1,0)*Input!I48+IF(Input!T48=9,1,0)*Input!R48</f>
        <v>0</v>
      </c>
      <c r="AP42">
        <f>IF(Input!K48=10,1,0)*Input!I48+IF(Input!T48=10,1,0)*Input!R48</f>
        <v>0</v>
      </c>
      <c r="AQ42">
        <f>IF(Input!K48=11,1,0)*Input!I48+IF(Input!T48=11,1,0)*Input!R48</f>
        <v>0</v>
      </c>
      <c r="AR42">
        <f>IF(Input!K48=12,1,0)*Input!I48+IF(Input!T48=12,1,0)*Input!R48</f>
        <v>0</v>
      </c>
      <c r="AS42">
        <f>IF(Input!K48=13,1,0)*Input!I48+IF(Input!T48=13,1,0)*Input!R48</f>
        <v>0</v>
      </c>
      <c r="AT42">
        <f>IF(Input!K48=14,1,0)*Input!I48+IF(Input!T48=14,1,0)*Input!R48</f>
        <v>0</v>
      </c>
      <c r="AU42">
        <f>IF(Input!K48=15,1,0)*Input!I48+IF(Input!T48=15,1,0)*Input!R48</f>
        <v>0</v>
      </c>
      <c r="AV42">
        <f>IF(Input!K48=16,1,0)*Input!I48+IF(Input!T48=16,1,0)*Input!R48</f>
        <v>0</v>
      </c>
    </row>
    <row r="43" spans="2:48" x14ac:dyDescent="0.25">
      <c r="B43">
        <f>(IF(Input!C49="Green",1,0)+IF(Input!D49="Green",1,0)+IF(Input!E49="Green",1,0)+IF(Input!F49="Green",1,0)+IF(Input!G49="Green",1,0)+IF(Input!H49="Green",1,0))*Input!A49</f>
        <v>0</v>
      </c>
      <c r="C43">
        <f>(IF(Input!C49="Red",1,0)+IF(Input!D49="Red",1,0)+IF(Input!E49="Red",1,0)+IF(Input!F49="Red",1,0)+IF(Input!G49="Red",1,0)+IF(Input!H49="Red",1,0))*Input!A49</f>
        <v>0</v>
      </c>
      <c r="D43">
        <f>(IF(Input!C49="Blue",1,0)+IF(Input!D49="Blue",1,0)+IF(Input!E49="Blue",1,0)+IF(Input!F49="Blue",1,0)+IF(Input!G49="Blue",1,0)+IF(Input!H49="Blue",1,0))*Input!A49</f>
        <v>0</v>
      </c>
      <c r="E43">
        <f>(IF(Input!C49="White",1,0)+IF(Input!D49="White",1,0)+IF(Input!E49="White",1,0)+IF(Input!F49="White",1,0)+IF(Input!G49="White",1,0)+IF(Input!H49="White",1,0))*Input!A49</f>
        <v>0</v>
      </c>
      <c r="F43">
        <f>(IF(Input!C49="Black",1,0)+IF(Input!D49="Black",1,0)+IF(Input!E49="Black",1,0)+IF(Input!F49="Black",1,0)+IF(Input!G49="Black",1,0)+IF(Input!H49="Black",1,0))*Input!A49</f>
        <v>0</v>
      </c>
      <c r="G43">
        <f>(IF(Input!C49="Colorless",1,0)+IF(Input!D49="Colorless",1,0)+IF(Input!E49="Colorless",1,0)+IF(Input!F49="Colorless",1,0)+IF(Input!G49="Colorless",1,0)+IF(Input!H49="Colorless",1,0))*Input!A49</f>
        <v>0</v>
      </c>
      <c r="J43">
        <f>(IF(Input!L49="Green",1,0)+IF(Input!M49="Green",1,0)+IF(Input!N49="Green",1,0)+IF(Input!O49="Green",1,0)+IF(Input!P49="Green",1,0))*Input!I49+(IF(Input!U49="Green",1,0)+IF(Input!V49="Green",1,0)+IF(Input!W49="Green",1,0)+IF(Input!X49="Green",1,0)+IF(Input!Y49="Green",1,0))*Input!R49</f>
        <v>0</v>
      </c>
      <c r="K43">
        <f>(IF(Input!L49="Red",1,0)+IF(Input!M49="Red",1,0)+IF(Input!N49="Red",1,0)+IF(Input!O49="Red",1,0)+IF(Input!P49="Red",1,0))*Input!I49+(IF(Input!U49="Red",1,0)+IF(Input!V49="Red",1,0)+IF(Input!W49="Red",1,0)+IF(Input!X49="Red",1,0)+IF(Input!Y49="Red",1,0))*Input!R49</f>
        <v>0</v>
      </c>
      <c r="L43">
        <f>(IF(Input!L49="Blue",1,0)+IF(Input!M49="Blue",1,0)+IF(Input!N49="Blue",1,0)+IF(Input!O49="Blue",1,0)+IF(Input!P49="Blue",1,0))*Input!I49+(IF(Input!U49="Blue",1,0)+IF(Input!V49="Blue",1,0)+IF(Input!W49="Blue",1,0)+IF(Input!X49="Blue",1,0)+IF(Input!Y49="Blue",1,0))*Input!R49</f>
        <v>0</v>
      </c>
      <c r="M43">
        <f>(IF(Input!L49="White",1,0)+IF(Input!M49="White",1,0)+IF(Input!N49="White",1,0)+IF(Input!O49="White",1,0)+IF(Input!P49="White",1,0))*Input!I49+(IF(Input!U49="White",1,0)+IF(Input!V49="White",1,0)+IF(Input!W49="White",1,0)+IF(Input!X49="White",1,0)+IF(Input!Y49="White",1,0))*Input!R49</f>
        <v>0</v>
      </c>
      <c r="N43">
        <f>(IF(Input!L49="Black",1,0)+IF(Input!M49="Black",1,0)+IF(Input!N49="Black",1,0)+IF(Input!O49="Black",1,0)+IF(Input!P49="Black",1,0))*Input!I49+(IF(Input!U49="Black",1,0)+IF(Input!V49="Black",1,0)+IF(Input!W49="Black",1,0)+IF(Input!X49="Black",1,0)+IF(Input!Y49="Black",1,0))*Input!R49</f>
        <v>0</v>
      </c>
      <c r="O43">
        <f>(IF(Input!L49="Colorless",1,0)+IF(Input!M49="Colorless",1,0)+IF(Input!N49="Colorless",1,0)+IF(Input!O49="Colorless",1,0)+IF(Input!P49="Colorless",1,0))*Input!I49+(IF(Input!U49="Colorless",1,0)+IF(Input!V49="Colorless",1,0)+IF(Input!W49="Colorless",1,0)+IF(Input!X49="Colorless",1,0)+IF(Input!Y49="Colorless",1,0))*Input!R49</f>
        <v>0</v>
      </c>
      <c r="Q43">
        <f>(IF(Input!Q49="Sorcery",1,0))*Input!I49+(IF(Input!Z49="Sorcery",1,0))*Input!R49</f>
        <v>0</v>
      </c>
      <c r="R43">
        <f>(IF(Input!Q49="Instant",1,0))*Input!I49+(IF(Input!Z49="Instant",1,0))*Input!R49</f>
        <v>0</v>
      </c>
      <c r="S43">
        <f>(IF(Input!Q49="Artifact",1,0))*Input!I49+(IF(Input!Z49="Artifact",1,0))*Input!R49</f>
        <v>0</v>
      </c>
      <c r="T43">
        <f>(IF(Input!Q49="Enchantment",1,0))*Input!I49+(IF(Input!Z49="Enchantment",1,0))*Input!R49</f>
        <v>0</v>
      </c>
      <c r="U43">
        <f>(IF(Input!Q49="Creature",1,0))*Input!I49+(IF(Input!Z49="Creature",1,0))*Input!R49</f>
        <v>0</v>
      </c>
      <c r="V43">
        <f>(IF(Input!Q49="Planeswalker",1,0))*Input!I49+(IF(Input!Z49="Planeswalker",1,0))*Input!R49</f>
        <v>0</v>
      </c>
      <c r="AF43">
        <f>IF(Input!K49=0,1,0)*Input!I49+IF(Input!T49=0,1,0)*Input!R49</f>
        <v>0</v>
      </c>
      <c r="AG43">
        <f>IF(Input!K49=1,1,0)*Input!I49+IF(Input!T49=1,1,0)*Input!R49</f>
        <v>0</v>
      </c>
      <c r="AH43">
        <f>IF(Input!K49=2,1,0)*Input!I49+IF(Input!T49=2,1,0)*Input!R49</f>
        <v>0</v>
      </c>
      <c r="AI43">
        <f>IF(Input!K49=3,1,0)*Input!I50+IF(Input!T49=3,1,0)*Input!R49</f>
        <v>0</v>
      </c>
      <c r="AJ43">
        <f>IF(Input!K49=4,1,0)*Input!I49+IF(Input!T49=4,1,0)*Input!R49</f>
        <v>0</v>
      </c>
      <c r="AK43">
        <f>IF(Input!K49=5,1,0)*Input!I49+IF(Input!T49=5,1,0)*Input!R49</f>
        <v>0</v>
      </c>
      <c r="AL43">
        <f>IF(Input!K49=6,1,0)*Input!I49+IF(Input!T49=6,1,0)*Input!R49</f>
        <v>0</v>
      </c>
      <c r="AM43">
        <f>IF(Input!K49=7,1,0)*Input!I49+IF(Input!T49=7,1,0)*Input!R49</f>
        <v>0</v>
      </c>
      <c r="AN43">
        <f>IF(Input!K49=8,1,0)*Input!I49+IF(Input!T49=8,1,0)*Input!R49</f>
        <v>0</v>
      </c>
      <c r="AO43">
        <f>IF(Input!K49=9,1,0)*Input!I49+IF(Input!T49=9,1,0)*Input!R49</f>
        <v>0</v>
      </c>
      <c r="AP43">
        <f>IF(Input!K49=10,1,0)*Input!I49+IF(Input!T49=10,1,0)*Input!R49</f>
        <v>0</v>
      </c>
      <c r="AQ43">
        <f>IF(Input!K49=11,1,0)*Input!I49+IF(Input!T49=11,1,0)*Input!R49</f>
        <v>0</v>
      </c>
      <c r="AR43">
        <f>IF(Input!K49=12,1,0)*Input!I49+IF(Input!T49=12,1,0)*Input!R49</f>
        <v>0</v>
      </c>
      <c r="AS43">
        <f>IF(Input!K49=13,1,0)*Input!I49+IF(Input!T49=13,1,0)*Input!R49</f>
        <v>0</v>
      </c>
      <c r="AT43">
        <f>IF(Input!K49=14,1,0)*Input!I49+IF(Input!T49=14,1,0)*Input!R49</f>
        <v>0</v>
      </c>
      <c r="AU43">
        <f>IF(Input!K49=15,1,0)*Input!I49+IF(Input!T49=15,1,0)*Input!R49</f>
        <v>0</v>
      </c>
      <c r="AV43">
        <f>IF(Input!K49=16,1,0)*Input!I49+IF(Input!T49=16,1,0)*Input!R49</f>
        <v>0</v>
      </c>
    </row>
    <row r="44" spans="2:48" x14ac:dyDescent="0.25">
      <c r="B44">
        <f>(IF(Input!C50="Green",1,0)+IF(Input!D50="Green",1,0)+IF(Input!E50="Green",1,0)+IF(Input!F50="Green",1,0)+IF(Input!G50="Green",1,0)+IF(Input!H50="Green",1,0))*Input!A50</f>
        <v>0</v>
      </c>
      <c r="C44">
        <f>(IF(Input!C50="Red",1,0)+IF(Input!D50="Red",1,0)+IF(Input!E50="Red",1,0)+IF(Input!F50="Red",1,0)+IF(Input!G50="Red",1,0)+IF(Input!H50="Red",1,0))*Input!A50</f>
        <v>0</v>
      </c>
      <c r="D44">
        <f>(IF(Input!C50="Blue",1,0)+IF(Input!D50="Blue",1,0)+IF(Input!E50="Blue",1,0)+IF(Input!F50="Blue",1,0)+IF(Input!G50="Blue",1,0)+IF(Input!H50="Blue",1,0))*Input!A50</f>
        <v>0</v>
      </c>
      <c r="E44">
        <f>(IF(Input!C50="White",1,0)+IF(Input!D50="White",1,0)+IF(Input!E50="White",1,0)+IF(Input!F50="White",1,0)+IF(Input!G50="White",1,0)+IF(Input!H50="White",1,0))*Input!A50</f>
        <v>0</v>
      </c>
      <c r="F44">
        <f>(IF(Input!C50="Black",1,0)+IF(Input!D50="Black",1,0)+IF(Input!E50="Black",1,0)+IF(Input!F50="Black",1,0)+IF(Input!G50="Black",1,0)+IF(Input!H50="Black",1,0))*Input!A50</f>
        <v>0</v>
      </c>
      <c r="G44">
        <f>(IF(Input!C50="Colorless",1,0)+IF(Input!D50="Colorless",1,0)+IF(Input!E50="Colorless",1,0)+IF(Input!F50="Colorless",1,0)+IF(Input!G50="Colorless",1,0)+IF(Input!H50="Colorless",1,0))*Input!A50</f>
        <v>0</v>
      </c>
      <c r="J44">
        <f>(IF(Input!L50="Green",1,0)+IF(Input!M50="Green",1,0)+IF(Input!N50="Green",1,0)+IF(Input!O50="Green",1,0)+IF(Input!P50="Green",1,0))*Input!I50+(IF(Input!U50="Green",1,0)+IF(Input!V50="Green",1,0)+IF(Input!W50="Green",1,0)+IF(Input!X50="Green",1,0)+IF(Input!Y50="Green",1,0))*Input!R50</f>
        <v>0</v>
      </c>
      <c r="K44">
        <f>(IF(Input!L50="Red",1,0)+IF(Input!M50="Red",1,0)+IF(Input!N50="Red",1,0)+IF(Input!O50="Red",1,0)+IF(Input!P50="Red",1,0))*Input!I50+(IF(Input!U50="Red",1,0)+IF(Input!V50="Red",1,0)+IF(Input!W50="Red",1,0)+IF(Input!X50="Red",1,0)+IF(Input!Y50="Red",1,0))*Input!R50</f>
        <v>0</v>
      </c>
      <c r="L44">
        <f>(IF(Input!L50="Blue",1,0)+IF(Input!M50="Blue",1,0)+IF(Input!N50="Blue",1,0)+IF(Input!O50="Blue",1,0)+IF(Input!P50="Blue",1,0))*Input!I50+(IF(Input!U50="Blue",1,0)+IF(Input!V50="Blue",1,0)+IF(Input!W50="Blue",1,0)+IF(Input!X50="Blue",1,0)+IF(Input!Y50="Blue",1,0))*Input!R50</f>
        <v>0</v>
      </c>
      <c r="M44">
        <f>(IF(Input!L50="White",1,0)+IF(Input!M50="White",1,0)+IF(Input!N50="White",1,0)+IF(Input!O50="White",1,0)+IF(Input!P50="White",1,0))*Input!I50+(IF(Input!U50="White",1,0)+IF(Input!V50="White",1,0)+IF(Input!W50="White",1,0)+IF(Input!X50="White",1,0)+IF(Input!Y50="White",1,0))*Input!R50</f>
        <v>0</v>
      </c>
      <c r="N44">
        <f>(IF(Input!L50="Black",1,0)+IF(Input!M50="Black",1,0)+IF(Input!N50="Black",1,0)+IF(Input!O50="Black",1,0)+IF(Input!P50="Black",1,0))*Input!I50+(IF(Input!U50="Black",1,0)+IF(Input!V50="Black",1,0)+IF(Input!W50="Black",1,0)+IF(Input!X50="Black",1,0)+IF(Input!Y50="Black",1,0))*Input!R50</f>
        <v>0</v>
      </c>
      <c r="O44">
        <f>(IF(Input!L50="Colorless",1,0)+IF(Input!M50="Colorless",1,0)+IF(Input!N50="Colorless",1,0)+IF(Input!O50="Colorless",1,0)+IF(Input!P50="Colorless",1,0))*Input!I50+(IF(Input!U50="Colorless",1,0)+IF(Input!V50="Colorless",1,0)+IF(Input!W50="Colorless",1,0)+IF(Input!X50="Colorless",1,0)+IF(Input!Y50="Colorless",1,0))*Input!R50</f>
        <v>0</v>
      </c>
      <c r="Q44">
        <f>(IF(Input!Q50="Sorcery",1,0))*Input!I50+(IF(Input!Z50="Sorcery",1,0))*Input!R50</f>
        <v>0</v>
      </c>
      <c r="R44">
        <f>(IF(Input!Q50="Instant",1,0))*Input!I50+(IF(Input!Z50="Instant",1,0))*Input!R50</f>
        <v>0</v>
      </c>
      <c r="S44">
        <f>(IF(Input!Q50="Artifact",1,0))*Input!I50+(IF(Input!Z50="Artifact",1,0))*Input!R50</f>
        <v>0</v>
      </c>
      <c r="T44">
        <f>(IF(Input!Q50="Enchantment",1,0))*Input!I50+(IF(Input!Z50="Enchantment",1,0))*Input!R50</f>
        <v>0</v>
      </c>
      <c r="U44">
        <f>(IF(Input!Q50="Creature",1,0))*Input!I50+(IF(Input!Z50="Creature",1,0))*Input!R50</f>
        <v>0</v>
      </c>
      <c r="V44">
        <f>(IF(Input!Q50="Planeswalker",1,0))*Input!I50+(IF(Input!Z50="Planeswalker",1,0))*Input!R50</f>
        <v>0</v>
      </c>
      <c r="AF44">
        <f>IF(Input!K50=0,1,0)*Input!I50+IF(Input!T50=0,1,0)*Input!R50</f>
        <v>0</v>
      </c>
      <c r="AG44">
        <f>IF(Input!K50=1,1,0)*Input!I50+IF(Input!T50=1,1,0)*Input!R50</f>
        <v>0</v>
      </c>
      <c r="AH44">
        <f>IF(Input!K50=2,1,0)*Input!I50+IF(Input!T50=2,1,0)*Input!R50</f>
        <v>0</v>
      </c>
      <c r="AI44">
        <f>IF(Input!K50=3,1,0)*Input!I51+IF(Input!T50=3,1,0)*Input!R50</f>
        <v>0</v>
      </c>
      <c r="AJ44">
        <f>IF(Input!K50=4,1,0)*Input!I50+IF(Input!T50=4,1,0)*Input!R50</f>
        <v>0</v>
      </c>
      <c r="AK44">
        <f>IF(Input!K50=5,1,0)*Input!I50+IF(Input!T50=5,1,0)*Input!R50</f>
        <v>0</v>
      </c>
      <c r="AL44">
        <f>IF(Input!K50=6,1,0)*Input!I50+IF(Input!T50=6,1,0)*Input!R50</f>
        <v>0</v>
      </c>
      <c r="AM44">
        <f>IF(Input!K50=7,1,0)*Input!I50+IF(Input!T50=7,1,0)*Input!R50</f>
        <v>0</v>
      </c>
      <c r="AN44">
        <f>IF(Input!K50=8,1,0)*Input!I50+IF(Input!T50=8,1,0)*Input!R50</f>
        <v>0</v>
      </c>
      <c r="AO44">
        <f>IF(Input!K50=9,1,0)*Input!I50+IF(Input!T50=9,1,0)*Input!R50</f>
        <v>0</v>
      </c>
      <c r="AP44">
        <f>IF(Input!K50=10,1,0)*Input!I50+IF(Input!T50=10,1,0)*Input!R50</f>
        <v>0</v>
      </c>
      <c r="AQ44">
        <f>IF(Input!K50=11,1,0)*Input!I50+IF(Input!T50=11,1,0)*Input!R50</f>
        <v>0</v>
      </c>
      <c r="AR44">
        <f>IF(Input!K50=12,1,0)*Input!I50+IF(Input!T50=12,1,0)*Input!R50</f>
        <v>0</v>
      </c>
      <c r="AS44">
        <f>IF(Input!K50=13,1,0)*Input!I50+IF(Input!T50=13,1,0)*Input!R50</f>
        <v>0</v>
      </c>
      <c r="AT44">
        <f>IF(Input!K50=14,1,0)*Input!I50+IF(Input!T50=14,1,0)*Input!R50</f>
        <v>0</v>
      </c>
      <c r="AU44">
        <f>IF(Input!K50=15,1,0)*Input!I50+IF(Input!T50=15,1,0)*Input!R50</f>
        <v>0</v>
      </c>
      <c r="AV44">
        <f>IF(Input!K50=16,1,0)*Input!I50+IF(Input!T50=16,1,0)*Input!R50</f>
        <v>0</v>
      </c>
    </row>
    <row r="45" spans="2:48" x14ac:dyDescent="0.25">
      <c r="B45">
        <f>(IF(Input!C51="Green",1,0)+IF(Input!D51="Green",1,0)+IF(Input!E51="Green",1,0)+IF(Input!F51="Green",1,0)+IF(Input!G51="Green",1,0)+IF(Input!H51="Green",1,0))*Input!A51</f>
        <v>0</v>
      </c>
      <c r="C45">
        <f>(IF(Input!C51="Red",1,0)+IF(Input!D51="Red",1,0)+IF(Input!E51="Red",1,0)+IF(Input!F51="Red",1,0)+IF(Input!G51="Red",1,0)+IF(Input!H51="Red",1,0))*Input!A51</f>
        <v>0</v>
      </c>
      <c r="D45">
        <f>(IF(Input!C51="Blue",1,0)+IF(Input!D51="Blue",1,0)+IF(Input!E51="Blue",1,0)+IF(Input!F51="Blue",1,0)+IF(Input!G51="Blue",1,0)+IF(Input!H51="Blue",1,0))*Input!A51</f>
        <v>0</v>
      </c>
      <c r="E45">
        <f>(IF(Input!C51="White",1,0)+IF(Input!D51="White",1,0)+IF(Input!E51="White",1,0)+IF(Input!F51="White",1,0)+IF(Input!G51="White",1,0)+IF(Input!H51="White",1,0))*Input!A51</f>
        <v>0</v>
      </c>
      <c r="F45">
        <f>(IF(Input!C51="Black",1,0)+IF(Input!D51="Black",1,0)+IF(Input!E51="Black",1,0)+IF(Input!F51="Black",1,0)+IF(Input!G51="Black",1,0)+IF(Input!H51="Black",1,0))*Input!A51</f>
        <v>0</v>
      </c>
      <c r="G45">
        <f>(IF(Input!C51="Colorless",1,0)+IF(Input!D51="Colorless",1,0)+IF(Input!E51="Colorless",1,0)+IF(Input!F51="Colorless",1,0)+IF(Input!G51="Colorless",1,0)+IF(Input!H51="Colorless",1,0))*Input!A51</f>
        <v>0</v>
      </c>
      <c r="J45">
        <f>(IF(Input!L51="Green",1,0)+IF(Input!M51="Green",1,0)+IF(Input!N51="Green",1,0)+IF(Input!O51="Green",1,0)+IF(Input!P51="Green",1,0))*Input!I51+(IF(Input!U51="Green",1,0)+IF(Input!V51="Green",1,0)+IF(Input!W51="Green",1,0)+IF(Input!X51="Green",1,0)+IF(Input!Y51="Green",1,0))*Input!R51</f>
        <v>0</v>
      </c>
      <c r="K45">
        <f>(IF(Input!L51="Red",1,0)+IF(Input!M51="Red",1,0)+IF(Input!N51="Red",1,0)+IF(Input!O51="Red",1,0)+IF(Input!P51="Red",1,0))*Input!I51+(IF(Input!U51="Red",1,0)+IF(Input!V51="Red",1,0)+IF(Input!W51="Red",1,0)+IF(Input!X51="Red",1,0)+IF(Input!Y51="Red",1,0))*Input!R51</f>
        <v>0</v>
      </c>
      <c r="L45">
        <f>(IF(Input!L51="Blue",1,0)+IF(Input!M51="Blue",1,0)+IF(Input!N51="Blue",1,0)+IF(Input!O51="Blue",1,0)+IF(Input!P51="Blue",1,0))*Input!I51+(IF(Input!U51="Blue",1,0)+IF(Input!V51="Blue",1,0)+IF(Input!W51="Blue",1,0)+IF(Input!X51="Blue",1,0)+IF(Input!Y51="Blue",1,0))*Input!R51</f>
        <v>0</v>
      </c>
      <c r="M45">
        <f>(IF(Input!L51="White",1,0)+IF(Input!M51="White",1,0)+IF(Input!N51="White",1,0)+IF(Input!O51="White",1,0)+IF(Input!P51="White",1,0))*Input!I51+(IF(Input!U51="White",1,0)+IF(Input!V51="White",1,0)+IF(Input!W51="White",1,0)+IF(Input!X51="White",1,0)+IF(Input!Y51="White",1,0))*Input!R51</f>
        <v>0</v>
      </c>
      <c r="N45">
        <f>(IF(Input!L51="Black",1,0)+IF(Input!M51="Black",1,0)+IF(Input!N51="Black",1,0)+IF(Input!O51="Black",1,0)+IF(Input!P51="Black",1,0))*Input!I51+(IF(Input!U51="Black",1,0)+IF(Input!V51="Black",1,0)+IF(Input!W51="Black",1,0)+IF(Input!X51="Black",1,0)+IF(Input!Y51="Black",1,0))*Input!R51</f>
        <v>0</v>
      </c>
      <c r="O45">
        <f>(IF(Input!L51="Colorless",1,0)+IF(Input!M51="Colorless",1,0)+IF(Input!N51="Colorless",1,0)+IF(Input!O51="Colorless",1,0)+IF(Input!P51="Colorless",1,0))*Input!I51+(IF(Input!U51="Colorless",1,0)+IF(Input!V51="Colorless",1,0)+IF(Input!W51="Colorless",1,0)+IF(Input!X51="Colorless",1,0)+IF(Input!Y51="Colorless",1,0))*Input!R51</f>
        <v>0</v>
      </c>
      <c r="Q45">
        <f>(IF(Input!Q51="Sorcery",1,0))*Input!I51+(IF(Input!Z51="Sorcery",1,0))*Input!R51</f>
        <v>0</v>
      </c>
      <c r="R45">
        <f>(IF(Input!Q51="Instant",1,0))*Input!I51+(IF(Input!Z51="Instant",1,0))*Input!R51</f>
        <v>0</v>
      </c>
      <c r="S45">
        <f>(IF(Input!Q51="Artifact",1,0))*Input!I51+(IF(Input!Z51="Artifact",1,0))*Input!R51</f>
        <v>0</v>
      </c>
      <c r="T45">
        <f>(IF(Input!Q51="Enchantment",1,0))*Input!I51+(IF(Input!Z51="Enchantment",1,0))*Input!R51</f>
        <v>0</v>
      </c>
      <c r="U45">
        <f>(IF(Input!Q51="Creature",1,0))*Input!I51+(IF(Input!Z51="Creature",1,0))*Input!R51</f>
        <v>0</v>
      </c>
      <c r="V45">
        <f>(IF(Input!Q51="Planeswalker",1,0))*Input!I51+(IF(Input!Z51="Planeswalker",1,0))*Input!R51</f>
        <v>0</v>
      </c>
      <c r="AF45">
        <f>IF(Input!K51=0,1,0)*Input!I51+IF(Input!T51=0,1,0)*Input!R51</f>
        <v>0</v>
      </c>
      <c r="AG45">
        <f>IF(Input!K51=1,1,0)*Input!I51+IF(Input!T51=1,1,0)*Input!R51</f>
        <v>0</v>
      </c>
      <c r="AH45">
        <f>IF(Input!K51=2,1,0)*Input!I51+IF(Input!T51=2,1,0)*Input!R51</f>
        <v>0</v>
      </c>
      <c r="AI45">
        <f>IF(Input!K51=3,1,0)*Input!I52+IF(Input!T51=3,1,0)*Input!R51</f>
        <v>0</v>
      </c>
      <c r="AJ45">
        <f>IF(Input!K51=4,1,0)*Input!I51+IF(Input!T51=4,1,0)*Input!R51</f>
        <v>0</v>
      </c>
      <c r="AK45">
        <f>IF(Input!K51=5,1,0)*Input!I51+IF(Input!T51=5,1,0)*Input!R51</f>
        <v>0</v>
      </c>
      <c r="AL45">
        <f>IF(Input!K51=6,1,0)*Input!I51+IF(Input!T51=6,1,0)*Input!R51</f>
        <v>0</v>
      </c>
      <c r="AM45">
        <f>IF(Input!K51=7,1,0)*Input!I51+IF(Input!T51=7,1,0)*Input!R51</f>
        <v>0</v>
      </c>
      <c r="AN45">
        <f>IF(Input!K51=8,1,0)*Input!I51+IF(Input!T51=8,1,0)*Input!R51</f>
        <v>0</v>
      </c>
      <c r="AO45">
        <f>IF(Input!K51=9,1,0)*Input!I51+IF(Input!T51=9,1,0)*Input!R51</f>
        <v>0</v>
      </c>
      <c r="AP45">
        <f>IF(Input!K51=10,1,0)*Input!I51+IF(Input!T51=10,1,0)*Input!R51</f>
        <v>0</v>
      </c>
      <c r="AQ45">
        <f>IF(Input!K51=11,1,0)*Input!I51+IF(Input!T51=11,1,0)*Input!R51</f>
        <v>0</v>
      </c>
      <c r="AR45">
        <f>IF(Input!K51=12,1,0)*Input!I51+IF(Input!T51=12,1,0)*Input!R51</f>
        <v>0</v>
      </c>
      <c r="AS45">
        <f>IF(Input!K51=13,1,0)*Input!I51+IF(Input!T51=13,1,0)*Input!R51</f>
        <v>0</v>
      </c>
      <c r="AT45">
        <f>IF(Input!K51=14,1,0)*Input!I51+IF(Input!T51=14,1,0)*Input!R51</f>
        <v>0</v>
      </c>
      <c r="AU45">
        <f>IF(Input!K51=15,1,0)*Input!I51+IF(Input!T51=15,1,0)*Input!R51</f>
        <v>0</v>
      </c>
      <c r="AV45">
        <f>IF(Input!K51=16,1,0)*Input!I51+IF(Input!T51=16,1,0)*Input!R51</f>
        <v>0</v>
      </c>
    </row>
    <row r="46" spans="2:48" x14ac:dyDescent="0.25">
      <c r="B46">
        <f>(IF(Input!C52="Green",1,0)+IF(Input!D52="Green",1,0)+IF(Input!E52="Green",1,0)+IF(Input!F52="Green",1,0)+IF(Input!G52="Green",1,0)+IF(Input!H52="Green",1,0))*Input!A52</f>
        <v>0</v>
      </c>
      <c r="C46">
        <f>(IF(Input!C52="Red",1,0)+IF(Input!D52="Red",1,0)+IF(Input!E52="Red",1,0)+IF(Input!F52="Red",1,0)+IF(Input!G52="Red",1,0)+IF(Input!H52="Red",1,0))*Input!A52</f>
        <v>0</v>
      </c>
      <c r="D46">
        <f>(IF(Input!C52="Blue",1,0)+IF(Input!D52="Blue",1,0)+IF(Input!E52="Blue",1,0)+IF(Input!F52="Blue",1,0)+IF(Input!G52="Blue",1,0)+IF(Input!H52="Blue",1,0))*Input!A52</f>
        <v>0</v>
      </c>
      <c r="E46">
        <f>(IF(Input!C52="White",1,0)+IF(Input!D52="White",1,0)+IF(Input!E52="White",1,0)+IF(Input!F52="White",1,0)+IF(Input!G52="White",1,0)+IF(Input!H52="White",1,0))*Input!A52</f>
        <v>0</v>
      </c>
      <c r="F46">
        <f>(IF(Input!C52="Black",1,0)+IF(Input!D52="Black",1,0)+IF(Input!E52="Black",1,0)+IF(Input!F52="Black",1,0)+IF(Input!G52="Black",1,0)+IF(Input!H52="Black",1,0))*Input!A52</f>
        <v>0</v>
      </c>
      <c r="G46">
        <f>(IF(Input!C52="Colorless",1,0)+IF(Input!D52="Colorless",1,0)+IF(Input!E52="Colorless",1,0)+IF(Input!F52="Colorless",1,0)+IF(Input!G52="Colorless",1,0)+IF(Input!H52="Colorless",1,0))*Input!A52</f>
        <v>0</v>
      </c>
      <c r="J46">
        <f>(IF(Input!L52="Green",1,0)+IF(Input!M52="Green",1,0)+IF(Input!N52="Green",1,0)+IF(Input!O52="Green",1,0)+IF(Input!P52="Green",1,0))*Input!I52+(IF(Input!U52="Green",1,0)+IF(Input!V52="Green",1,0)+IF(Input!W52="Green",1,0)+IF(Input!X52="Green",1,0)+IF(Input!Y52="Green",1,0))*Input!R52</f>
        <v>0</v>
      </c>
      <c r="K46">
        <f>(IF(Input!L52="Red",1,0)+IF(Input!M52="Red",1,0)+IF(Input!N52="Red",1,0)+IF(Input!O52="Red",1,0)+IF(Input!P52="Red",1,0))*Input!I52+(IF(Input!U52="Red",1,0)+IF(Input!V52="Red",1,0)+IF(Input!W52="Red",1,0)+IF(Input!X52="Red",1,0)+IF(Input!Y52="Red",1,0))*Input!R52</f>
        <v>0</v>
      </c>
      <c r="L46">
        <f>(IF(Input!L52="Blue",1,0)+IF(Input!M52="Blue",1,0)+IF(Input!N52="Blue",1,0)+IF(Input!O52="Blue",1,0)+IF(Input!P52="Blue",1,0))*Input!I52+(IF(Input!U52="Blue",1,0)+IF(Input!V52="Blue",1,0)+IF(Input!W52="Blue",1,0)+IF(Input!X52="Blue",1,0)+IF(Input!Y52="Blue",1,0))*Input!R52</f>
        <v>0</v>
      </c>
      <c r="M46">
        <f>(IF(Input!L52="White",1,0)+IF(Input!M52="White",1,0)+IF(Input!N52="White",1,0)+IF(Input!O52="White",1,0)+IF(Input!P52="White",1,0))*Input!I52+(IF(Input!U52="White",1,0)+IF(Input!V52="White",1,0)+IF(Input!W52="White",1,0)+IF(Input!X52="White",1,0)+IF(Input!Y52="White",1,0))*Input!R52</f>
        <v>0</v>
      </c>
      <c r="N46">
        <f>(IF(Input!L52="Black",1,0)+IF(Input!M52="Black",1,0)+IF(Input!N52="Black",1,0)+IF(Input!O52="Black",1,0)+IF(Input!P52="Black",1,0))*Input!I52+(IF(Input!U52="Black",1,0)+IF(Input!V52="Black",1,0)+IF(Input!W52="Black",1,0)+IF(Input!X52="Black",1,0)+IF(Input!Y52="Black",1,0))*Input!R52</f>
        <v>0</v>
      </c>
      <c r="O46">
        <f>(IF(Input!L52="Colorless",1,0)+IF(Input!M52="Colorless",1,0)+IF(Input!N52="Colorless",1,0)+IF(Input!O52="Colorless",1,0)+IF(Input!P52="Colorless",1,0))*Input!I52+(IF(Input!U52="Colorless",1,0)+IF(Input!V52="Colorless",1,0)+IF(Input!W52="Colorless",1,0)+IF(Input!X52="Colorless",1,0)+IF(Input!Y52="Colorless",1,0))*Input!R52</f>
        <v>0</v>
      </c>
      <c r="Q46">
        <f>(IF(Input!Q52="Sorcery",1,0))*Input!I52+(IF(Input!Z52="Sorcery",1,0))*Input!R52</f>
        <v>0</v>
      </c>
      <c r="R46">
        <f>(IF(Input!Q52="Instant",1,0))*Input!I52+(IF(Input!Z52="Instant",1,0))*Input!R52</f>
        <v>0</v>
      </c>
      <c r="S46">
        <f>(IF(Input!Q52="Artifact",1,0))*Input!I52+(IF(Input!Z52="Artifact",1,0))*Input!R52</f>
        <v>0</v>
      </c>
      <c r="T46">
        <f>(IF(Input!Q52="Enchantment",1,0))*Input!I52+(IF(Input!Z52="Enchantment",1,0))*Input!R52</f>
        <v>0</v>
      </c>
      <c r="U46">
        <f>(IF(Input!Q52="Creature",1,0))*Input!I52+(IF(Input!Z52="Creature",1,0))*Input!R52</f>
        <v>0</v>
      </c>
      <c r="V46">
        <f>(IF(Input!Q52="Planeswalker",1,0))*Input!I52+(IF(Input!Z52="Planeswalker",1,0))*Input!R52</f>
        <v>0</v>
      </c>
      <c r="AF46">
        <f>IF(Input!K52=0,1,0)*Input!I52+IF(Input!T52=0,1,0)*Input!R52</f>
        <v>0</v>
      </c>
      <c r="AG46">
        <f>IF(Input!K52=1,1,0)*Input!I52+IF(Input!T52=1,1,0)*Input!R52</f>
        <v>0</v>
      </c>
      <c r="AH46">
        <f>IF(Input!K52=2,1,0)*Input!I52+IF(Input!T52=2,1,0)*Input!R52</f>
        <v>0</v>
      </c>
      <c r="AI46">
        <f>IF(Input!K52=3,1,0)*Input!I53+IF(Input!T52=3,1,0)*Input!R52</f>
        <v>0</v>
      </c>
      <c r="AJ46">
        <f>IF(Input!K52=4,1,0)*Input!I52+IF(Input!T52=4,1,0)*Input!R52</f>
        <v>0</v>
      </c>
      <c r="AK46">
        <f>IF(Input!K52=5,1,0)*Input!I52+IF(Input!T52=5,1,0)*Input!R52</f>
        <v>0</v>
      </c>
      <c r="AL46">
        <f>IF(Input!K52=6,1,0)*Input!I52+IF(Input!T52=6,1,0)*Input!R52</f>
        <v>0</v>
      </c>
      <c r="AM46">
        <f>IF(Input!K52=7,1,0)*Input!I52+IF(Input!T52=7,1,0)*Input!R52</f>
        <v>0</v>
      </c>
      <c r="AN46">
        <f>IF(Input!K52=8,1,0)*Input!I52+IF(Input!T52=8,1,0)*Input!R52</f>
        <v>0</v>
      </c>
      <c r="AO46">
        <f>IF(Input!K52=9,1,0)*Input!I52+IF(Input!T52=9,1,0)*Input!R52</f>
        <v>0</v>
      </c>
      <c r="AP46">
        <f>IF(Input!K52=10,1,0)*Input!I52+IF(Input!T52=10,1,0)*Input!R52</f>
        <v>0</v>
      </c>
      <c r="AQ46">
        <f>IF(Input!K52=11,1,0)*Input!I52+IF(Input!T52=11,1,0)*Input!R52</f>
        <v>0</v>
      </c>
      <c r="AR46">
        <f>IF(Input!K52=12,1,0)*Input!I52+IF(Input!T52=12,1,0)*Input!R52</f>
        <v>0</v>
      </c>
      <c r="AS46">
        <f>IF(Input!K52=13,1,0)*Input!I52+IF(Input!T52=13,1,0)*Input!R52</f>
        <v>0</v>
      </c>
      <c r="AT46">
        <f>IF(Input!K52=14,1,0)*Input!I52+IF(Input!T52=14,1,0)*Input!R52</f>
        <v>0</v>
      </c>
      <c r="AU46">
        <f>IF(Input!K52=15,1,0)*Input!I52+IF(Input!T52=15,1,0)*Input!R52</f>
        <v>0</v>
      </c>
      <c r="AV46">
        <f>IF(Input!K52=16,1,0)*Input!I52+IF(Input!T52=16,1,0)*Input!R52</f>
        <v>0</v>
      </c>
    </row>
    <row r="47" spans="2:48" x14ac:dyDescent="0.25">
      <c r="B47">
        <f>(IF(Input!C53="Green",1,0)+IF(Input!D53="Green",1,0)+IF(Input!E53="Green",1,0)+IF(Input!F53="Green",1,0)+IF(Input!G53="Green",1,0)+IF(Input!H53="Green",1,0))*Input!A53</f>
        <v>0</v>
      </c>
      <c r="C47">
        <f>(IF(Input!C53="Red",1,0)+IF(Input!D53="Red",1,0)+IF(Input!E53="Red",1,0)+IF(Input!F53="Red",1,0)+IF(Input!G53="Red",1,0)+IF(Input!H53="Red",1,0))*Input!A53</f>
        <v>0</v>
      </c>
      <c r="D47">
        <f>(IF(Input!C53="Blue",1,0)+IF(Input!D53="Blue",1,0)+IF(Input!E53="Blue",1,0)+IF(Input!F53="Blue",1,0)+IF(Input!G53="Blue",1,0)+IF(Input!H53="Blue",1,0))*Input!A53</f>
        <v>0</v>
      </c>
      <c r="E47">
        <f>(IF(Input!C53="White",1,0)+IF(Input!D53="White",1,0)+IF(Input!E53="White",1,0)+IF(Input!F53="White",1,0)+IF(Input!G53="White",1,0)+IF(Input!H53="White",1,0))*Input!A53</f>
        <v>0</v>
      </c>
      <c r="F47">
        <f>(IF(Input!C53="Black",1,0)+IF(Input!D53="Black",1,0)+IF(Input!E53="Black",1,0)+IF(Input!F53="Black",1,0)+IF(Input!G53="Black",1,0)+IF(Input!H53="Black",1,0))*Input!A53</f>
        <v>0</v>
      </c>
      <c r="G47">
        <f>(IF(Input!C53="Colorless",1,0)+IF(Input!D53="Colorless",1,0)+IF(Input!E53="Colorless",1,0)+IF(Input!F53="Colorless",1,0)+IF(Input!G53="Colorless",1,0)+IF(Input!H53="Colorless",1,0))*Input!A53</f>
        <v>0</v>
      </c>
      <c r="J47">
        <f>(IF(Input!L53="Green",1,0)+IF(Input!M53="Green",1,0)+IF(Input!N53="Green",1,0)+IF(Input!O53="Green",1,0)+IF(Input!P53="Green",1,0))*Input!I53+(IF(Input!U53="Green",1,0)+IF(Input!V53="Green",1,0)+IF(Input!W53="Green",1,0)+IF(Input!X53="Green",1,0)+IF(Input!Y53="Green",1,0))*Input!R53</f>
        <v>0</v>
      </c>
      <c r="K47">
        <f>(IF(Input!L53="Red",1,0)+IF(Input!M53="Red",1,0)+IF(Input!N53="Red",1,0)+IF(Input!O53="Red",1,0)+IF(Input!P53="Red",1,0))*Input!I53+(IF(Input!U53="Red",1,0)+IF(Input!V53="Red",1,0)+IF(Input!W53="Red",1,0)+IF(Input!X53="Red",1,0)+IF(Input!Y53="Red",1,0))*Input!R53</f>
        <v>0</v>
      </c>
      <c r="L47">
        <f>(IF(Input!L53="Blue",1,0)+IF(Input!M53="Blue",1,0)+IF(Input!N53="Blue",1,0)+IF(Input!O53="Blue",1,0)+IF(Input!P53="Blue",1,0))*Input!I53+(IF(Input!U53="Blue",1,0)+IF(Input!V53="Blue",1,0)+IF(Input!W53="Blue",1,0)+IF(Input!X53="Blue",1,0)+IF(Input!Y53="Blue",1,0))*Input!R53</f>
        <v>0</v>
      </c>
      <c r="M47">
        <f>(IF(Input!L53="White",1,0)+IF(Input!M53="White",1,0)+IF(Input!N53="White",1,0)+IF(Input!O53="White",1,0)+IF(Input!P53="White",1,0))*Input!I53+(IF(Input!U53="White",1,0)+IF(Input!V53="White",1,0)+IF(Input!W53="White",1,0)+IF(Input!X53="White",1,0)+IF(Input!Y53="White",1,0))*Input!R53</f>
        <v>0</v>
      </c>
      <c r="N47">
        <f>(IF(Input!L53="Black",1,0)+IF(Input!M53="Black",1,0)+IF(Input!N53="Black",1,0)+IF(Input!O53="Black",1,0)+IF(Input!P53="Black",1,0))*Input!I53+(IF(Input!U53="Black",1,0)+IF(Input!V53="Black",1,0)+IF(Input!W53="Black",1,0)+IF(Input!X53="Black",1,0)+IF(Input!Y53="Black",1,0))*Input!R53</f>
        <v>0</v>
      </c>
      <c r="O47">
        <f>(IF(Input!L53="Colorless",1,0)+IF(Input!M53="Colorless",1,0)+IF(Input!N53="Colorless",1,0)+IF(Input!O53="Colorless",1,0)+IF(Input!P53="Colorless",1,0))*Input!I53+(IF(Input!U53="Colorless",1,0)+IF(Input!V53="Colorless",1,0)+IF(Input!W53="Colorless",1,0)+IF(Input!X53="Colorless",1,0)+IF(Input!Y53="Colorless",1,0))*Input!R53</f>
        <v>0</v>
      </c>
      <c r="Q47">
        <f>(IF(Input!Q53="Sorcery",1,0))*Input!I53+(IF(Input!Z53="Sorcery",1,0))*Input!R53</f>
        <v>0</v>
      </c>
      <c r="R47">
        <f>(IF(Input!Q53="Instant",1,0))*Input!I53+(IF(Input!Z53="Instant",1,0))*Input!R53</f>
        <v>0</v>
      </c>
      <c r="S47">
        <f>(IF(Input!Q53="Artifact",1,0))*Input!I53+(IF(Input!Z53="Artifact",1,0))*Input!R53</f>
        <v>0</v>
      </c>
      <c r="T47">
        <f>(IF(Input!Q53="Enchantment",1,0))*Input!I53+(IF(Input!Z53="Enchantment",1,0))*Input!R53</f>
        <v>0</v>
      </c>
      <c r="U47">
        <f>(IF(Input!Q53="Creature",1,0))*Input!I53+(IF(Input!Z53="Creature",1,0))*Input!R53</f>
        <v>0</v>
      </c>
      <c r="V47">
        <f>(IF(Input!Q53="Planeswalker",1,0))*Input!I53+(IF(Input!Z53="Planeswalker",1,0))*Input!R53</f>
        <v>0</v>
      </c>
      <c r="AF47">
        <f>IF(Input!K53=0,1,0)*Input!I53+IF(Input!T53=0,1,0)*Input!R53</f>
        <v>0</v>
      </c>
      <c r="AG47">
        <f>IF(Input!K53=1,1,0)*Input!I53+IF(Input!T53=1,1,0)*Input!R53</f>
        <v>0</v>
      </c>
      <c r="AH47">
        <f>IF(Input!K53=2,1,0)*Input!I53+IF(Input!T53=2,1,0)*Input!R53</f>
        <v>0</v>
      </c>
      <c r="AI47">
        <f>IF(Input!K53=3,1,0)*Input!I54+IF(Input!T53=3,1,0)*Input!R53</f>
        <v>0</v>
      </c>
      <c r="AJ47">
        <f>IF(Input!K53=4,1,0)*Input!I53+IF(Input!T53=4,1,0)*Input!R53</f>
        <v>0</v>
      </c>
      <c r="AK47">
        <f>IF(Input!K53=5,1,0)*Input!I53+IF(Input!T53=5,1,0)*Input!R53</f>
        <v>0</v>
      </c>
      <c r="AL47">
        <f>IF(Input!K53=6,1,0)*Input!I53+IF(Input!T53=6,1,0)*Input!R53</f>
        <v>0</v>
      </c>
      <c r="AM47">
        <f>IF(Input!K53=7,1,0)*Input!I53+IF(Input!T53=7,1,0)*Input!R53</f>
        <v>0</v>
      </c>
      <c r="AN47">
        <f>IF(Input!K53=8,1,0)*Input!I53+IF(Input!T53=8,1,0)*Input!R53</f>
        <v>0</v>
      </c>
      <c r="AO47">
        <f>IF(Input!K53=9,1,0)*Input!I53+IF(Input!T53=9,1,0)*Input!R53</f>
        <v>0</v>
      </c>
      <c r="AP47">
        <f>IF(Input!K53=10,1,0)*Input!I53+IF(Input!T53=10,1,0)*Input!R53</f>
        <v>0</v>
      </c>
      <c r="AQ47">
        <f>IF(Input!K53=11,1,0)*Input!I53+IF(Input!T53=11,1,0)*Input!R53</f>
        <v>0</v>
      </c>
      <c r="AR47">
        <f>IF(Input!K53=12,1,0)*Input!I53+IF(Input!T53=12,1,0)*Input!R53</f>
        <v>0</v>
      </c>
      <c r="AS47">
        <f>IF(Input!K53=13,1,0)*Input!I53+IF(Input!T53=13,1,0)*Input!R53</f>
        <v>0</v>
      </c>
      <c r="AT47">
        <f>IF(Input!K53=14,1,0)*Input!I53+IF(Input!T53=14,1,0)*Input!R53</f>
        <v>0</v>
      </c>
      <c r="AU47">
        <f>IF(Input!K53=15,1,0)*Input!I53+IF(Input!T53=15,1,0)*Input!R53</f>
        <v>0</v>
      </c>
      <c r="AV47">
        <f>IF(Input!K53=16,1,0)*Input!I53+IF(Input!T53=16,1,0)*Input!R53</f>
        <v>0</v>
      </c>
    </row>
    <row r="48" spans="2:48" x14ac:dyDescent="0.25">
      <c r="B48">
        <f>(IF(Input!C54="Green",1,0)+IF(Input!D54="Green",1,0)+IF(Input!E54="Green",1,0)+IF(Input!F54="Green",1,0)+IF(Input!G54="Green",1,0)+IF(Input!H54="Green",1,0))*Input!A54</f>
        <v>0</v>
      </c>
      <c r="C48">
        <f>(IF(Input!C54="Red",1,0)+IF(Input!D54="Red",1,0)+IF(Input!E54="Red",1,0)+IF(Input!F54="Red",1,0)+IF(Input!G54="Red",1,0)+IF(Input!H54="Red",1,0))*Input!A54</f>
        <v>0</v>
      </c>
      <c r="D48">
        <f>(IF(Input!C54="Blue",1,0)+IF(Input!D54="Blue",1,0)+IF(Input!E54="Blue",1,0)+IF(Input!F54="Blue",1,0)+IF(Input!G54="Blue",1,0)+IF(Input!H54="Blue",1,0))*Input!A54</f>
        <v>0</v>
      </c>
      <c r="E48">
        <f>(IF(Input!C54="White",1,0)+IF(Input!D54="White",1,0)+IF(Input!E54="White",1,0)+IF(Input!F54="White",1,0)+IF(Input!G54="White",1,0)+IF(Input!H54="White",1,0))*Input!A54</f>
        <v>0</v>
      </c>
      <c r="F48">
        <f>(IF(Input!C54="Black",1,0)+IF(Input!D54="Black",1,0)+IF(Input!E54="Black",1,0)+IF(Input!F54="Black",1,0)+IF(Input!G54="Black",1,0)+IF(Input!H54="Black",1,0))*Input!A54</f>
        <v>0</v>
      </c>
      <c r="G48">
        <f>(IF(Input!C54="Colorless",1,0)+IF(Input!D54="Colorless",1,0)+IF(Input!E54="Colorless",1,0)+IF(Input!F54="Colorless",1,0)+IF(Input!G54="Colorless",1,0)+IF(Input!H54="Colorless",1,0))*Input!A54</f>
        <v>0</v>
      </c>
      <c r="J48">
        <f>(IF(Input!L54="Green",1,0)+IF(Input!M54="Green",1,0)+IF(Input!N54="Green",1,0)+IF(Input!O54="Green",1,0)+IF(Input!P54="Green",1,0))*Input!I54+(IF(Input!U54="Green",1,0)+IF(Input!V54="Green",1,0)+IF(Input!W54="Green",1,0)+IF(Input!X54="Green",1,0)+IF(Input!Y54="Green",1,0))*Input!R54</f>
        <v>0</v>
      </c>
      <c r="K48">
        <f>(IF(Input!L54="Red",1,0)+IF(Input!M54="Red",1,0)+IF(Input!N54="Red",1,0)+IF(Input!O54="Red",1,0)+IF(Input!P54="Red",1,0))*Input!I54+(IF(Input!U54="Red",1,0)+IF(Input!V54="Red",1,0)+IF(Input!W54="Red",1,0)+IF(Input!X54="Red",1,0)+IF(Input!Y54="Red",1,0))*Input!R54</f>
        <v>0</v>
      </c>
      <c r="L48">
        <f>(IF(Input!L54="Blue",1,0)+IF(Input!M54="Blue",1,0)+IF(Input!N54="Blue",1,0)+IF(Input!O54="Blue",1,0)+IF(Input!P54="Blue",1,0))*Input!I54+(IF(Input!U54="Blue",1,0)+IF(Input!V54="Blue",1,0)+IF(Input!W54="Blue",1,0)+IF(Input!X54="Blue",1,0)+IF(Input!Y54="Blue",1,0))*Input!R54</f>
        <v>0</v>
      </c>
      <c r="M48">
        <f>(IF(Input!L54="White",1,0)+IF(Input!M54="White",1,0)+IF(Input!N54="White",1,0)+IF(Input!O54="White",1,0)+IF(Input!P54="White",1,0))*Input!I54+(IF(Input!U54="White",1,0)+IF(Input!V54="White",1,0)+IF(Input!W54="White",1,0)+IF(Input!X54="White",1,0)+IF(Input!Y54="White",1,0))*Input!R54</f>
        <v>0</v>
      </c>
      <c r="N48">
        <f>(IF(Input!L54="Black",1,0)+IF(Input!M54="Black",1,0)+IF(Input!N54="Black",1,0)+IF(Input!O54="Black",1,0)+IF(Input!P54="Black",1,0))*Input!I54+(IF(Input!U54="Black",1,0)+IF(Input!V54="Black",1,0)+IF(Input!W54="Black",1,0)+IF(Input!X54="Black",1,0)+IF(Input!Y54="Black",1,0))*Input!R54</f>
        <v>0</v>
      </c>
      <c r="O48">
        <f>(IF(Input!L54="Colorless",1,0)+IF(Input!M54="Colorless",1,0)+IF(Input!N54="Colorless",1,0)+IF(Input!O54="Colorless",1,0)+IF(Input!P54="Colorless",1,0))*Input!I54+(IF(Input!U54="Colorless",1,0)+IF(Input!V54="Colorless",1,0)+IF(Input!W54="Colorless",1,0)+IF(Input!X54="Colorless",1,0)+IF(Input!Y54="Colorless",1,0))*Input!R54</f>
        <v>0</v>
      </c>
      <c r="Q48">
        <f>(IF(Input!Q54="Sorcery",1,0))*Input!I54+(IF(Input!Z54="Sorcery",1,0))*Input!R54</f>
        <v>0</v>
      </c>
      <c r="R48">
        <f>(IF(Input!Q54="Instant",1,0))*Input!I54+(IF(Input!Z54="Instant",1,0))*Input!R54</f>
        <v>0</v>
      </c>
      <c r="S48">
        <f>(IF(Input!Q54="Artifact",1,0))*Input!I54+(IF(Input!Z54="Artifact",1,0))*Input!R54</f>
        <v>0</v>
      </c>
      <c r="T48">
        <f>(IF(Input!Q54="Enchantment",1,0))*Input!I54+(IF(Input!Z54="Enchantment",1,0))*Input!R54</f>
        <v>0</v>
      </c>
      <c r="U48">
        <f>(IF(Input!Q54="Creature",1,0))*Input!I54+(IF(Input!Z54="Creature",1,0))*Input!R54</f>
        <v>0</v>
      </c>
      <c r="V48">
        <f>(IF(Input!Q54="Planeswalker",1,0))*Input!I54+(IF(Input!Z54="Planeswalker",1,0))*Input!R54</f>
        <v>0</v>
      </c>
      <c r="AF48">
        <f>IF(Input!K54=0,1,0)*Input!I54+IF(Input!T54=0,1,0)*Input!R54</f>
        <v>0</v>
      </c>
      <c r="AG48">
        <f>IF(Input!K54=1,1,0)*Input!I54+IF(Input!T54=1,1,0)*Input!R54</f>
        <v>0</v>
      </c>
      <c r="AH48">
        <f>IF(Input!K54=2,1,0)*Input!I54+IF(Input!T54=2,1,0)*Input!R54</f>
        <v>0</v>
      </c>
      <c r="AI48">
        <f>IF(Input!K54=3,1,0)*Input!I55+IF(Input!T54=3,1,0)*Input!R54</f>
        <v>0</v>
      </c>
      <c r="AJ48">
        <f>IF(Input!K54=4,1,0)*Input!I54+IF(Input!T54=4,1,0)*Input!R54</f>
        <v>0</v>
      </c>
      <c r="AK48">
        <f>IF(Input!K54=5,1,0)*Input!I54+IF(Input!T54=5,1,0)*Input!R54</f>
        <v>0</v>
      </c>
      <c r="AL48">
        <f>IF(Input!K54=6,1,0)*Input!I54+IF(Input!T54=6,1,0)*Input!R54</f>
        <v>0</v>
      </c>
      <c r="AM48">
        <f>IF(Input!K54=7,1,0)*Input!I54+IF(Input!T54=7,1,0)*Input!R54</f>
        <v>0</v>
      </c>
      <c r="AN48">
        <f>IF(Input!K54=8,1,0)*Input!I54+IF(Input!T54=8,1,0)*Input!R54</f>
        <v>0</v>
      </c>
      <c r="AO48">
        <f>IF(Input!K54=9,1,0)*Input!I54+IF(Input!T54=9,1,0)*Input!R54</f>
        <v>0</v>
      </c>
      <c r="AP48">
        <f>IF(Input!K54=10,1,0)*Input!I54+IF(Input!T54=10,1,0)*Input!R54</f>
        <v>0</v>
      </c>
      <c r="AQ48">
        <f>IF(Input!K54=11,1,0)*Input!I54+IF(Input!T54=11,1,0)*Input!R54</f>
        <v>0</v>
      </c>
      <c r="AR48">
        <f>IF(Input!K54=12,1,0)*Input!I54+IF(Input!T54=12,1,0)*Input!R54</f>
        <v>0</v>
      </c>
      <c r="AS48">
        <f>IF(Input!K54=13,1,0)*Input!I54+IF(Input!T54=13,1,0)*Input!R54</f>
        <v>0</v>
      </c>
      <c r="AT48">
        <f>IF(Input!K54=14,1,0)*Input!I54+IF(Input!T54=14,1,0)*Input!R54</f>
        <v>0</v>
      </c>
      <c r="AU48">
        <f>IF(Input!K54=15,1,0)*Input!I54+IF(Input!T54=15,1,0)*Input!R54</f>
        <v>0</v>
      </c>
      <c r="AV48">
        <f>IF(Input!K54=16,1,0)*Input!I54+IF(Input!T54=16,1,0)*Input!R54</f>
        <v>0</v>
      </c>
    </row>
    <row r="49" spans="1:48" x14ac:dyDescent="0.25">
      <c r="B49">
        <f>(IF(Input!C55="Green",1,0)+IF(Input!D55="Green",1,0)+IF(Input!E55="Green",1,0)+IF(Input!F55="Green",1,0)+IF(Input!G55="Green",1,0)+IF(Input!H55="Green",1,0))*Input!A55</f>
        <v>0</v>
      </c>
      <c r="C49">
        <f>(IF(Input!C55="Red",1,0)+IF(Input!D55="Red",1,0)+IF(Input!E55="Red",1,0)+IF(Input!F55="Red",1,0)+IF(Input!G55="Red",1,0)+IF(Input!H55="Red",1,0))*Input!A55</f>
        <v>0</v>
      </c>
      <c r="D49">
        <f>(IF(Input!C55="Blue",1,0)+IF(Input!D55="Blue",1,0)+IF(Input!E55="Blue",1,0)+IF(Input!F55="Blue",1,0)+IF(Input!G55="Blue",1,0)+IF(Input!H55="Blue",1,0))*Input!A55</f>
        <v>0</v>
      </c>
      <c r="E49">
        <f>(IF(Input!C55="White",1,0)+IF(Input!D55="White",1,0)+IF(Input!E55="White",1,0)+IF(Input!F55="White",1,0)+IF(Input!G55="White",1,0)+IF(Input!H55="White",1,0))*Input!A55</f>
        <v>0</v>
      </c>
      <c r="F49">
        <f>(IF(Input!C55="Black",1,0)+IF(Input!D55="Black",1,0)+IF(Input!E55="Black",1,0)+IF(Input!F55="Black",1,0)+IF(Input!G55="Black",1,0)+IF(Input!H55="Black",1,0))*Input!A55</f>
        <v>0</v>
      </c>
      <c r="G49">
        <f>(IF(Input!C55="Colorless",1,0)+IF(Input!D55="Colorless",1,0)+IF(Input!E55="Colorless",1,0)+IF(Input!F55="Colorless",1,0)+IF(Input!G55="Colorless",1,0)+IF(Input!H55="Colorless",1,0))*Input!A55</f>
        <v>0</v>
      </c>
      <c r="J49">
        <f>(IF(Input!L55="Green",1,0)+IF(Input!M55="Green",1,0)+IF(Input!N55="Green",1,0)+IF(Input!O55="Green",1,0)+IF(Input!P55="Green",1,0))*Input!I55+(IF(Input!U55="Green",1,0)+IF(Input!V55="Green",1,0)+IF(Input!W55="Green",1,0)+IF(Input!X55="Green",1,0)+IF(Input!Y55="Green",1,0))*Input!R55</f>
        <v>0</v>
      </c>
      <c r="K49">
        <f>(IF(Input!L55="Red",1,0)+IF(Input!M55="Red",1,0)+IF(Input!N55="Red",1,0)+IF(Input!O55="Red",1,0)+IF(Input!P55="Red",1,0))*Input!I55+(IF(Input!U55="Red",1,0)+IF(Input!V55="Red",1,0)+IF(Input!W55="Red",1,0)+IF(Input!X55="Red",1,0)+IF(Input!Y55="Red",1,0))*Input!R55</f>
        <v>0</v>
      </c>
      <c r="L49">
        <f>(IF(Input!L55="Blue",1,0)+IF(Input!M55="Blue",1,0)+IF(Input!N55="Blue",1,0)+IF(Input!O55="Blue",1,0)+IF(Input!P55="Blue",1,0))*Input!I55+(IF(Input!U55="Blue",1,0)+IF(Input!V55="Blue",1,0)+IF(Input!W55="Blue",1,0)+IF(Input!X55="Blue",1,0)+IF(Input!Y55="Blue",1,0))*Input!R55</f>
        <v>0</v>
      </c>
      <c r="M49">
        <f>(IF(Input!L55="White",1,0)+IF(Input!M55="White",1,0)+IF(Input!N55="White",1,0)+IF(Input!O55="White",1,0)+IF(Input!P55="White",1,0))*Input!I55+(IF(Input!U55="White",1,0)+IF(Input!V55="White",1,0)+IF(Input!W55="White",1,0)+IF(Input!X55="White",1,0)+IF(Input!Y55="White",1,0))*Input!R55</f>
        <v>0</v>
      </c>
      <c r="N49">
        <f>(IF(Input!L55="Black",1,0)+IF(Input!M55="Black",1,0)+IF(Input!N55="Black",1,0)+IF(Input!O55="Black",1,0)+IF(Input!P55="Black",1,0))*Input!I55+(IF(Input!U55="Black",1,0)+IF(Input!V55="Black",1,0)+IF(Input!W55="Black",1,0)+IF(Input!X55="Black",1,0)+IF(Input!Y55="Black",1,0))*Input!R55</f>
        <v>0</v>
      </c>
      <c r="O49">
        <f>(IF(Input!L55="Colorless",1,0)+IF(Input!M55="Colorless",1,0)+IF(Input!N55="Colorless",1,0)+IF(Input!O55="Colorless",1,0)+IF(Input!P55="Colorless",1,0))*Input!I55+(IF(Input!U55="Colorless",1,0)+IF(Input!V55="Colorless",1,0)+IF(Input!W55="Colorless",1,0)+IF(Input!X55="Colorless",1,0)+IF(Input!Y55="Colorless",1,0))*Input!R55</f>
        <v>0</v>
      </c>
      <c r="Q49">
        <f>(IF(Input!Q55="Sorcery",1,0))*Input!I55+(IF(Input!Z55="Sorcery",1,0))*Input!R55</f>
        <v>0</v>
      </c>
      <c r="R49">
        <f>(IF(Input!Q55="Instant",1,0))*Input!I55+(IF(Input!Z55="Instant",1,0))*Input!R55</f>
        <v>0</v>
      </c>
      <c r="S49">
        <f>(IF(Input!Q55="Artifact",1,0))*Input!I55+(IF(Input!Z55="Artifact",1,0))*Input!R55</f>
        <v>0</v>
      </c>
      <c r="T49">
        <f>(IF(Input!Q55="Enchantment",1,0))*Input!I55+(IF(Input!Z55="Enchantment",1,0))*Input!R55</f>
        <v>0</v>
      </c>
      <c r="U49">
        <f>(IF(Input!Q55="Creature",1,0))*Input!I55+(IF(Input!Z55="Creature",1,0))*Input!R55</f>
        <v>0</v>
      </c>
      <c r="V49">
        <f>(IF(Input!Q55="Planeswalker",1,0))*Input!I55+(IF(Input!Z55="Planeswalker",1,0))*Input!R55</f>
        <v>0</v>
      </c>
      <c r="AF49">
        <f>IF(Input!K55=0,1,0)*Input!I55+IF(Input!T55=0,1,0)*Input!R55</f>
        <v>0</v>
      </c>
      <c r="AG49">
        <f>IF(Input!K55=1,1,0)*Input!I55+IF(Input!T55=1,1,0)*Input!R55</f>
        <v>0</v>
      </c>
      <c r="AH49">
        <f>IF(Input!K55=2,1,0)*Input!I55+IF(Input!T55=2,1,0)*Input!R55</f>
        <v>0</v>
      </c>
      <c r="AI49">
        <f>IF(Input!K55=3,1,0)*Input!I56+IF(Input!T55=3,1,0)*Input!R55</f>
        <v>0</v>
      </c>
      <c r="AJ49">
        <f>IF(Input!K55=4,1,0)*Input!I55+IF(Input!T55=4,1,0)*Input!R55</f>
        <v>0</v>
      </c>
      <c r="AK49">
        <f>IF(Input!K55=5,1,0)*Input!I55+IF(Input!T55=5,1,0)*Input!R55</f>
        <v>0</v>
      </c>
      <c r="AL49">
        <f>IF(Input!K55=6,1,0)*Input!I55+IF(Input!T55=6,1,0)*Input!R55</f>
        <v>0</v>
      </c>
      <c r="AM49">
        <f>IF(Input!K55=7,1,0)*Input!I55+IF(Input!T55=7,1,0)*Input!R55</f>
        <v>0</v>
      </c>
      <c r="AN49">
        <f>IF(Input!K55=8,1,0)*Input!I55+IF(Input!T55=8,1,0)*Input!R55</f>
        <v>0</v>
      </c>
      <c r="AO49">
        <f>IF(Input!K55=9,1,0)*Input!I55+IF(Input!T55=9,1,0)*Input!R55</f>
        <v>0</v>
      </c>
      <c r="AP49">
        <f>IF(Input!K55=10,1,0)*Input!I55+IF(Input!T55=10,1,0)*Input!R55</f>
        <v>0</v>
      </c>
      <c r="AQ49">
        <f>IF(Input!K55=11,1,0)*Input!I55+IF(Input!T55=11,1,0)*Input!R55</f>
        <v>0</v>
      </c>
      <c r="AR49">
        <f>IF(Input!K55=12,1,0)*Input!I55+IF(Input!T55=12,1,0)*Input!R55</f>
        <v>0</v>
      </c>
      <c r="AS49">
        <f>IF(Input!K55=13,1,0)*Input!I55+IF(Input!T55=13,1,0)*Input!R55</f>
        <v>0</v>
      </c>
      <c r="AT49">
        <f>IF(Input!K55=14,1,0)*Input!I55+IF(Input!T55=14,1,0)*Input!R55</f>
        <v>0</v>
      </c>
      <c r="AU49">
        <f>IF(Input!K55=15,1,0)*Input!I55+IF(Input!T55=15,1,0)*Input!R55</f>
        <v>0</v>
      </c>
      <c r="AV49">
        <f>IF(Input!K55=16,1,0)*Input!I55+IF(Input!T55=16,1,0)*Input!R55</f>
        <v>0</v>
      </c>
    </row>
    <row r="50" spans="1:48" x14ac:dyDescent="0.25">
      <c r="B50">
        <f>(IF(Input!C56="Green",1,0)+IF(Input!D56="Green",1,0)+IF(Input!E56="Green",1,0)+IF(Input!F56="Green",1,0)+IF(Input!G56="Green",1,0)+IF(Input!H56="Green",1,0))*Input!A56</f>
        <v>0</v>
      </c>
      <c r="C50">
        <f>(IF(Input!C56="Red",1,0)+IF(Input!D56="Red",1,0)+IF(Input!E56="Red",1,0)+IF(Input!F56="Red",1,0)+IF(Input!G56="Red",1,0)+IF(Input!H56="Red",1,0))*Input!A56</f>
        <v>0</v>
      </c>
      <c r="D50">
        <f>(IF(Input!C56="Blue",1,0)+IF(Input!D56="Blue",1,0)+IF(Input!E56="Blue",1,0)+IF(Input!F56="Blue",1,0)+IF(Input!G56="Blue",1,0)+IF(Input!H56="Blue",1,0))*Input!A56</f>
        <v>0</v>
      </c>
      <c r="E50">
        <f>(IF(Input!C56="White",1,0)+IF(Input!D56="White",1,0)+IF(Input!E56="White",1,0)+IF(Input!F56="White",1,0)+IF(Input!G56="White",1,0)+IF(Input!H56="White",1,0))*Input!A56</f>
        <v>0</v>
      </c>
      <c r="F50">
        <f>(IF(Input!C56="Black",1,0)+IF(Input!D56="Black",1,0)+IF(Input!E56="Black",1,0)+IF(Input!F56="Black",1,0)+IF(Input!G56="Black",1,0)+IF(Input!H56="Black",1,0))*Input!A56</f>
        <v>0</v>
      </c>
      <c r="G50">
        <f>(IF(Input!C56="Colorless",1,0)+IF(Input!D56="Colorless",1,0)+IF(Input!E56="Colorless",1,0)+IF(Input!F56="Colorless",1,0)+IF(Input!G56="Colorless",1,0)+IF(Input!H56="Colorless",1,0))*Input!A56</f>
        <v>0</v>
      </c>
      <c r="J50">
        <f>(IF(Input!L56="Green",1,0)+IF(Input!M56="Green",1,0)+IF(Input!N56="Green",1,0)+IF(Input!O56="Green",1,0)+IF(Input!P56="Green",1,0))*Input!I56+(IF(Input!U56="Green",1,0)+IF(Input!V56="Green",1,0)+IF(Input!W56="Green",1,0)+IF(Input!X56="Green",1,0)+IF(Input!Y56="Green",1,0))*Input!R56</f>
        <v>0</v>
      </c>
      <c r="K50">
        <f>(IF(Input!L56="Red",1,0)+IF(Input!M56="Red",1,0)+IF(Input!N56="Red",1,0)+IF(Input!O56="Red",1,0)+IF(Input!P56="Red",1,0))*Input!I56+(IF(Input!U56="Red",1,0)+IF(Input!V56="Red",1,0)+IF(Input!W56="Red",1,0)+IF(Input!X56="Red",1,0)+IF(Input!Y56="Red",1,0))*Input!R56</f>
        <v>0</v>
      </c>
      <c r="L50">
        <f>(IF(Input!L56="Blue",1,0)+IF(Input!M56="Blue",1,0)+IF(Input!N56="Blue",1,0)+IF(Input!O56="Blue",1,0)+IF(Input!P56="Blue",1,0))*Input!I56+(IF(Input!U56="Blue",1,0)+IF(Input!V56="Blue",1,0)+IF(Input!W56="Blue",1,0)+IF(Input!X56="Blue",1,0)+IF(Input!Y56="Blue",1,0))*Input!R56</f>
        <v>0</v>
      </c>
      <c r="M50">
        <f>(IF(Input!L56="White",1,0)+IF(Input!M56="White",1,0)+IF(Input!N56="White",1,0)+IF(Input!O56="White",1,0)+IF(Input!P56="White",1,0))*Input!I56+(IF(Input!U56="White",1,0)+IF(Input!V56="White",1,0)+IF(Input!W56="White",1,0)+IF(Input!X56="White",1,0)+IF(Input!Y56="White",1,0))*Input!R56</f>
        <v>0</v>
      </c>
      <c r="N50">
        <f>(IF(Input!L56="Black",1,0)+IF(Input!M56="Black",1,0)+IF(Input!N56="Black",1,0)+IF(Input!O56="Black",1,0)+IF(Input!P56="Black",1,0))*Input!I56+(IF(Input!U56="Black",1,0)+IF(Input!V56="Black",1,0)+IF(Input!W56="Black",1,0)+IF(Input!X56="Black",1,0)+IF(Input!Y56="Black",1,0))*Input!R56</f>
        <v>0</v>
      </c>
      <c r="O50">
        <f>(IF(Input!L56="Colorless",1,0)+IF(Input!M56="Colorless",1,0)+IF(Input!N56="Colorless",1,0)+IF(Input!O56="Colorless",1,0)+IF(Input!P56="Colorless",1,0))*Input!I56+(IF(Input!U56="Colorless",1,0)+IF(Input!V56="Colorless",1,0)+IF(Input!W56="Colorless",1,0)+IF(Input!X56="Colorless",1,0)+IF(Input!Y56="Colorless",1,0))*Input!R56</f>
        <v>0</v>
      </c>
      <c r="Q50">
        <f>(IF(Input!Q56="Sorcery",1,0))*Input!I56+(IF(Input!Z56="Sorcery",1,0))*Input!R56</f>
        <v>0</v>
      </c>
      <c r="R50">
        <f>(IF(Input!Q56="Instant",1,0))*Input!I56+(IF(Input!Z56="Instant",1,0))*Input!R56</f>
        <v>0</v>
      </c>
      <c r="S50">
        <f>(IF(Input!Q56="Artifact",1,0))*Input!I56+(IF(Input!Z56="Artifact",1,0))*Input!R56</f>
        <v>0</v>
      </c>
      <c r="T50">
        <f>(IF(Input!Q56="Enchantment",1,0))*Input!I56+(IF(Input!Z56="Enchantment",1,0))*Input!R56</f>
        <v>0</v>
      </c>
      <c r="U50">
        <f>(IF(Input!Q56="Creature",1,0))*Input!I56+(IF(Input!Z56="Creature",1,0))*Input!R56</f>
        <v>0</v>
      </c>
      <c r="V50">
        <f>(IF(Input!Q56="Planeswalker",1,0))*Input!I56+(IF(Input!Z56="Planeswalker",1,0))*Input!R56</f>
        <v>0</v>
      </c>
      <c r="AF50">
        <f>IF(Input!K56=0,1,0)*Input!I56+IF(Input!T56=0,1,0)*Input!R56</f>
        <v>0</v>
      </c>
      <c r="AG50">
        <f>IF(Input!K56=1,1,0)*Input!I56+IF(Input!T56=1,1,0)*Input!R56</f>
        <v>0</v>
      </c>
      <c r="AH50">
        <f>IF(Input!K56=2,1,0)*Input!I56+IF(Input!T56=2,1,0)*Input!R56</f>
        <v>0</v>
      </c>
      <c r="AI50">
        <f>IF(Input!K56=3,1,0)*Input!I57+IF(Input!T56=3,1,0)*Input!R56</f>
        <v>0</v>
      </c>
      <c r="AJ50">
        <f>IF(Input!K56=4,1,0)*Input!I56+IF(Input!T56=4,1,0)*Input!R56</f>
        <v>0</v>
      </c>
      <c r="AK50">
        <f>IF(Input!K56=5,1,0)*Input!I56+IF(Input!T56=5,1,0)*Input!R56</f>
        <v>0</v>
      </c>
      <c r="AL50">
        <f>IF(Input!K56=6,1,0)*Input!I56+IF(Input!T56=6,1,0)*Input!R56</f>
        <v>0</v>
      </c>
      <c r="AM50">
        <f>IF(Input!K56=7,1,0)*Input!I56+IF(Input!T56=7,1,0)*Input!R56</f>
        <v>0</v>
      </c>
      <c r="AN50">
        <f>IF(Input!K56=8,1,0)*Input!I56+IF(Input!T56=8,1,0)*Input!R56</f>
        <v>0</v>
      </c>
      <c r="AO50">
        <f>IF(Input!K56=9,1,0)*Input!I56+IF(Input!T56=9,1,0)*Input!R56</f>
        <v>0</v>
      </c>
      <c r="AP50">
        <f>IF(Input!K56=10,1,0)*Input!I56+IF(Input!T56=10,1,0)*Input!R56</f>
        <v>0</v>
      </c>
      <c r="AQ50">
        <f>IF(Input!K56=11,1,0)*Input!I56+IF(Input!T56=11,1,0)*Input!R56</f>
        <v>0</v>
      </c>
      <c r="AR50">
        <f>IF(Input!K56=12,1,0)*Input!I56+IF(Input!T56=12,1,0)*Input!R56</f>
        <v>0</v>
      </c>
      <c r="AS50">
        <f>IF(Input!K56=13,1,0)*Input!I56+IF(Input!T56=13,1,0)*Input!R56</f>
        <v>0</v>
      </c>
      <c r="AT50">
        <f>IF(Input!K56=14,1,0)*Input!I56+IF(Input!T56=14,1,0)*Input!R56</f>
        <v>0</v>
      </c>
      <c r="AU50">
        <f>IF(Input!K56=15,1,0)*Input!I56+IF(Input!T56=15,1,0)*Input!R56</f>
        <v>0</v>
      </c>
      <c r="AV50">
        <f>IF(Input!K56=16,1,0)*Input!I56+IF(Input!T56=16,1,0)*Input!R56</f>
        <v>0</v>
      </c>
    </row>
    <row r="51" spans="1:48" x14ac:dyDescent="0.25">
      <c r="B51">
        <f>(IF(Input!C57="Green",1,0)+IF(Input!D57="Green",1,0)+IF(Input!E57="Green",1,0)+IF(Input!F57="Green",1,0)+IF(Input!G57="Green",1,0)+IF(Input!H57="Green",1,0))*Input!A57</f>
        <v>0</v>
      </c>
      <c r="C51">
        <f>(IF(Input!C57="Red",1,0)+IF(Input!D57="Red",1,0)+IF(Input!E57="Red",1,0)+IF(Input!F57="Red",1,0)+IF(Input!G57="Red",1,0)+IF(Input!H57="Red",1,0))*Input!A57</f>
        <v>0</v>
      </c>
      <c r="D51">
        <f>(IF(Input!C57="Blue",1,0)+IF(Input!D57="Blue",1,0)+IF(Input!E57="Blue",1,0)+IF(Input!F57="Blue",1,0)+IF(Input!G57="Blue",1,0)+IF(Input!H57="Blue",1,0))*Input!A57</f>
        <v>0</v>
      </c>
      <c r="E51">
        <f>(IF(Input!C57="White",1,0)+IF(Input!D57="White",1,0)+IF(Input!E57="White",1,0)+IF(Input!F57="White",1,0)+IF(Input!G57="White",1,0)+IF(Input!H57="White",1,0))*Input!A57</f>
        <v>0</v>
      </c>
      <c r="F51">
        <f>(IF(Input!C57="Black",1,0)+IF(Input!D57="Black",1,0)+IF(Input!E57="Black",1,0)+IF(Input!F57="Black",1,0)+IF(Input!G57="Black",1,0)+IF(Input!H57="Black",1,0))*Input!A57</f>
        <v>0</v>
      </c>
      <c r="G51">
        <f>(IF(Input!C57="Colorless",1,0)+IF(Input!D57="Colorless",1,0)+IF(Input!E57="Colorless",1,0)+IF(Input!F57="Colorless",1,0)+IF(Input!G57="Colorless",1,0)+IF(Input!H57="Colorless",1,0))*Input!A57</f>
        <v>0</v>
      </c>
      <c r="J51">
        <f>(IF(Input!L57="Green",1,0)+IF(Input!M57="Green",1,0)+IF(Input!N57="Green",1,0)+IF(Input!O57="Green",1,0)+IF(Input!P57="Green",1,0))*Input!I57+(IF(Input!U57="Green",1,0)+IF(Input!V57="Green",1,0)+IF(Input!W57="Green",1,0)+IF(Input!X57="Green",1,0)+IF(Input!Y57="Green",1,0))*Input!R57</f>
        <v>0</v>
      </c>
      <c r="K51">
        <f>(IF(Input!L57="Red",1,0)+IF(Input!M57="Red",1,0)+IF(Input!N57="Red",1,0)+IF(Input!O57="Red",1,0)+IF(Input!P57="Red",1,0))*Input!I57+(IF(Input!U57="Red",1,0)+IF(Input!V57="Red",1,0)+IF(Input!W57="Red",1,0)+IF(Input!X57="Red",1,0)+IF(Input!Y57="Red",1,0))*Input!R57</f>
        <v>0</v>
      </c>
      <c r="L51">
        <f>(IF(Input!L57="Blue",1,0)+IF(Input!M57="Blue",1,0)+IF(Input!N57="Blue",1,0)+IF(Input!O57="Blue",1,0)+IF(Input!P57="Blue",1,0))*Input!I57+(IF(Input!U57="Blue",1,0)+IF(Input!V57="Blue",1,0)+IF(Input!W57="Blue",1,0)+IF(Input!X57="Blue",1,0)+IF(Input!Y57="Blue",1,0))*Input!R57</f>
        <v>0</v>
      </c>
      <c r="M51">
        <f>(IF(Input!L57="White",1,0)+IF(Input!M57="White",1,0)+IF(Input!N57="White",1,0)+IF(Input!O57="White",1,0)+IF(Input!P57="White",1,0))*Input!I57+(IF(Input!U57="White",1,0)+IF(Input!V57="White",1,0)+IF(Input!W57="White",1,0)+IF(Input!X57="White",1,0)+IF(Input!Y57="White",1,0))*Input!R57</f>
        <v>0</v>
      </c>
      <c r="N51">
        <f>(IF(Input!L57="Black",1,0)+IF(Input!M57="Black",1,0)+IF(Input!N57="Black",1,0)+IF(Input!O57="Black",1,0)+IF(Input!P57="Black",1,0))*Input!I57+(IF(Input!U57="Black",1,0)+IF(Input!V57="Black",1,0)+IF(Input!W57="Black",1,0)+IF(Input!X57="Black",1,0)+IF(Input!Y57="Black",1,0))*Input!R57</f>
        <v>0</v>
      </c>
      <c r="O51">
        <f>(IF(Input!L57="Colorless",1,0)+IF(Input!M57="Colorless",1,0)+IF(Input!N57="Colorless",1,0)+IF(Input!O57="Colorless",1,0)+IF(Input!P57="Colorless",1,0))*Input!I57+(IF(Input!U57="Colorless",1,0)+IF(Input!V57="Colorless",1,0)+IF(Input!W57="Colorless",1,0)+IF(Input!X57="Colorless",1,0)+IF(Input!Y57="Colorless",1,0))*Input!R57</f>
        <v>0</v>
      </c>
      <c r="Q51">
        <f>(IF(Input!Q57="Sorcery",1,0))*Input!I57+(IF(Input!Z57="Sorcery",1,0))*Input!R57</f>
        <v>0</v>
      </c>
      <c r="R51">
        <f>(IF(Input!Q57="Instant",1,0))*Input!I57+(IF(Input!Z57="Instant",1,0))*Input!R57</f>
        <v>0</v>
      </c>
      <c r="S51">
        <f>(IF(Input!Q57="Artifact",1,0))*Input!I57+(IF(Input!Z57="Artifact",1,0))*Input!R57</f>
        <v>0</v>
      </c>
      <c r="T51">
        <f>(IF(Input!Q57="Enchantment",1,0))*Input!I57+(IF(Input!Z57="Enchantment",1,0))*Input!R57</f>
        <v>0</v>
      </c>
      <c r="U51">
        <f>(IF(Input!Q57="Creature",1,0))*Input!I57+(IF(Input!Z57="Creature",1,0))*Input!R57</f>
        <v>0</v>
      </c>
      <c r="V51">
        <f>(IF(Input!Q57="Planeswalker",1,0))*Input!I57+(IF(Input!Z57="Planeswalker",1,0))*Input!R57</f>
        <v>0</v>
      </c>
      <c r="AF51">
        <f>IF(Input!K57=0,1,0)*Input!I57+IF(Input!T57=0,1,0)*Input!R57</f>
        <v>0</v>
      </c>
      <c r="AG51">
        <f>IF(Input!K57=1,1,0)*Input!I57+IF(Input!T57=1,1,0)*Input!R57</f>
        <v>0</v>
      </c>
      <c r="AH51">
        <f>IF(Input!K57=2,1,0)*Input!I57+IF(Input!T57=2,1,0)*Input!R57</f>
        <v>0</v>
      </c>
      <c r="AI51">
        <f>IF(Input!K57=3,1,0)*Input!I58+IF(Input!T57=3,1,0)*Input!R57</f>
        <v>0</v>
      </c>
      <c r="AJ51">
        <f>IF(Input!K57=4,1,0)*Input!I57+IF(Input!T57=4,1,0)*Input!R57</f>
        <v>0</v>
      </c>
      <c r="AK51">
        <f>IF(Input!K57=5,1,0)*Input!I57+IF(Input!T57=5,1,0)*Input!R57</f>
        <v>0</v>
      </c>
      <c r="AL51">
        <f>IF(Input!K57=6,1,0)*Input!I57+IF(Input!T57=6,1,0)*Input!R57</f>
        <v>0</v>
      </c>
      <c r="AM51">
        <f>IF(Input!K57=7,1,0)*Input!I57+IF(Input!T57=7,1,0)*Input!R57</f>
        <v>0</v>
      </c>
      <c r="AN51">
        <f>IF(Input!K57=8,1,0)*Input!I57+IF(Input!T57=8,1,0)*Input!R57</f>
        <v>0</v>
      </c>
      <c r="AO51">
        <f>IF(Input!K57=9,1,0)*Input!I57+IF(Input!T57=9,1,0)*Input!R57</f>
        <v>0</v>
      </c>
      <c r="AP51">
        <f>IF(Input!K57=10,1,0)*Input!I57+IF(Input!T57=10,1,0)*Input!R57</f>
        <v>0</v>
      </c>
      <c r="AQ51">
        <f>IF(Input!K57=11,1,0)*Input!I57+IF(Input!T57=11,1,0)*Input!R57</f>
        <v>0</v>
      </c>
      <c r="AR51">
        <f>IF(Input!K57=12,1,0)*Input!I57+IF(Input!T57=12,1,0)*Input!R57</f>
        <v>0</v>
      </c>
      <c r="AS51">
        <f>IF(Input!K57=13,1,0)*Input!I57+IF(Input!T57=13,1,0)*Input!R57</f>
        <v>0</v>
      </c>
      <c r="AT51">
        <f>IF(Input!K57=14,1,0)*Input!I57+IF(Input!T57=14,1,0)*Input!R57</f>
        <v>0</v>
      </c>
      <c r="AU51">
        <f>IF(Input!K57=15,1,0)*Input!I57+IF(Input!T57=15,1,0)*Input!R57</f>
        <v>0</v>
      </c>
      <c r="AV51">
        <f>IF(Input!K57=16,1,0)*Input!I57+IF(Input!T57=16,1,0)*Input!R57</f>
        <v>0</v>
      </c>
    </row>
    <row r="52" spans="1:48" x14ac:dyDescent="0.25">
      <c r="B52">
        <f>(IF(Input!C58="Green",1,0)+IF(Input!D58="Green",1,0)+IF(Input!E58="Green",1,0)+IF(Input!F58="Green",1,0)+IF(Input!G58="Green",1,0)+IF(Input!H58="Green",1,0))*Input!A58</f>
        <v>0</v>
      </c>
      <c r="C52">
        <f>(IF(Input!C58="Red",1,0)+IF(Input!D58="Red",1,0)+IF(Input!E58="Red",1,0)+IF(Input!F58="Red",1,0)+IF(Input!G58="Red",1,0)+IF(Input!H58="Red",1,0))*Input!A58</f>
        <v>0</v>
      </c>
      <c r="D52">
        <f>(IF(Input!C58="Blue",1,0)+IF(Input!D58="Blue",1,0)+IF(Input!E58="Blue",1,0)+IF(Input!F58="Blue",1,0)+IF(Input!G58="Blue",1,0)+IF(Input!H58="Blue",1,0))*Input!A58</f>
        <v>0</v>
      </c>
      <c r="E52">
        <f>(IF(Input!C58="White",1,0)+IF(Input!D58="White",1,0)+IF(Input!E58="White",1,0)+IF(Input!F58="White",1,0)+IF(Input!G58="White",1,0)+IF(Input!H58="White",1,0))*Input!A58</f>
        <v>0</v>
      </c>
      <c r="F52">
        <f>(IF(Input!C58="Black",1,0)+IF(Input!D58="Black",1,0)+IF(Input!E58="Black",1,0)+IF(Input!F58="Black",1,0)+IF(Input!G58="Black",1,0)+IF(Input!H58="Black",1,0))*Input!A58</f>
        <v>0</v>
      </c>
      <c r="G52">
        <f>(IF(Input!C58="Colorless",1,0)+IF(Input!D58="Colorless",1,0)+IF(Input!E58="Colorless",1,0)+IF(Input!F58="Colorless",1,0)+IF(Input!G58="Colorless",1,0)+IF(Input!H58="Colorless",1,0))*Input!A58</f>
        <v>0</v>
      </c>
      <c r="J52">
        <f>(IF(Input!L58="Green",1,0)+IF(Input!M58="Green",1,0)+IF(Input!N58="Green",1,0)+IF(Input!O58="Green",1,0)+IF(Input!P58="Green",1,0))*Input!I58+(IF(Input!U58="Green",1,0)+IF(Input!V58="Green",1,0)+IF(Input!W58="Green",1,0)+IF(Input!X58="Green",1,0)+IF(Input!Y58="Green",1,0))*Input!R58</f>
        <v>0</v>
      </c>
      <c r="K52">
        <f>(IF(Input!L58="Red",1,0)+IF(Input!M58="Red",1,0)+IF(Input!N58="Red",1,0)+IF(Input!O58="Red",1,0)+IF(Input!P58="Red",1,0))*Input!I58+(IF(Input!U58="Red",1,0)+IF(Input!V58="Red",1,0)+IF(Input!W58="Red",1,0)+IF(Input!X58="Red",1,0)+IF(Input!Y58="Red",1,0))*Input!R58</f>
        <v>0</v>
      </c>
      <c r="L52">
        <f>(IF(Input!L58="Blue",1,0)+IF(Input!M58="Blue",1,0)+IF(Input!N58="Blue",1,0)+IF(Input!O58="Blue",1,0)+IF(Input!P58="Blue",1,0))*Input!I58+(IF(Input!U58="Blue",1,0)+IF(Input!V58="Blue",1,0)+IF(Input!W58="Blue",1,0)+IF(Input!X58="Blue",1,0)+IF(Input!Y58="Blue",1,0))*Input!R58</f>
        <v>0</v>
      </c>
      <c r="M52">
        <f>(IF(Input!L58="White",1,0)+IF(Input!M58="White",1,0)+IF(Input!N58="White",1,0)+IF(Input!O58="White",1,0)+IF(Input!P58="White",1,0))*Input!I58+(IF(Input!U58="White",1,0)+IF(Input!V58="White",1,0)+IF(Input!W58="White",1,0)+IF(Input!X58="White",1,0)+IF(Input!Y58="White",1,0))*Input!R58</f>
        <v>0</v>
      </c>
      <c r="N52">
        <f>(IF(Input!L58="Black",1,0)+IF(Input!M58="Black",1,0)+IF(Input!N58="Black",1,0)+IF(Input!O58="Black",1,0)+IF(Input!P58="Black",1,0))*Input!I58+(IF(Input!U58="Black",1,0)+IF(Input!V58="Black",1,0)+IF(Input!W58="Black",1,0)+IF(Input!X58="Black",1,0)+IF(Input!Y58="Black",1,0))*Input!R58</f>
        <v>0</v>
      </c>
      <c r="O52">
        <f>(IF(Input!L58="Colorless",1,0)+IF(Input!M58="Colorless",1,0)+IF(Input!N58="Colorless",1,0)+IF(Input!O58="Colorless",1,0)+IF(Input!P58="Colorless",1,0))*Input!I58+(IF(Input!U58="Colorless",1,0)+IF(Input!V58="Colorless",1,0)+IF(Input!W58="Colorless",1,0)+IF(Input!X58="Colorless",1,0)+IF(Input!Y58="Colorless",1,0))*Input!R58</f>
        <v>0</v>
      </c>
      <c r="Q52">
        <f>(IF(Input!Q58="Sorcery",1,0))*Input!I58+(IF(Input!Z58="Sorcery",1,0))*Input!R58</f>
        <v>0</v>
      </c>
      <c r="R52">
        <f>(IF(Input!Q58="Instant",1,0))*Input!I58+(IF(Input!Z58="Instant",1,0))*Input!R58</f>
        <v>0</v>
      </c>
      <c r="S52">
        <f>(IF(Input!Q58="Artifact",1,0))*Input!I58+(IF(Input!Z58="Artifact",1,0))*Input!R58</f>
        <v>0</v>
      </c>
      <c r="T52">
        <f>(IF(Input!Q58="Enchantment",1,0))*Input!I58+(IF(Input!Z58="Enchantment",1,0))*Input!R58</f>
        <v>0</v>
      </c>
      <c r="U52">
        <f>(IF(Input!Q58="Creature",1,0))*Input!I58+(IF(Input!Z58="Creature",1,0))*Input!R58</f>
        <v>0</v>
      </c>
      <c r="V52">
        <f>(IF(Input!Q58="Planeswalker",1,0))*Input!I58+(IF(Input!Z58="Planeswalker",1,0))*Input!R58</f>
        <v>0</v>
      </c>
      <c r="AF52">
        <f>IF(Input!K58=0,1,0)*Input!I58+IF(Input!T58=0,1,0)*Input!R58</f>
        <v>0</v>
      </c>
      <c r="AG52">
        <f>IF(Input!K58=1,1,0)*Input!I58+IF(Input!T58=1,1,0)*Input!R58</f>
        <v>0</v>
      </c>
      <c r="AH52">
        <f>IF(Input!K58=2,1,0)*Input!I58+IF(Input!T58=2,1,0)*Input!R58</f>
        <v>0</v>
      </c>
      <c r="AI52">
        <f>IF(Input!K58=3,1,0)*Input!I59+IF(Input!T58=3,1,0)*Input!R58</f>
        <v>0</v>
      </c>
      <c r="AJ52">
        <f>IF(Input!K58=4,1,0)*Input!I58+IF(Input!T58=4,1,0)*Input!R58</f>
        <v>0</v>
      </c>
      <c r="AK52">
        <f>IF(Input!K58=5,1,0)*Input!I58+IF(Input!T58=5,1,0)*Input!R58</f>
        <v>0</v>
      </c>
      <c r="AL52">
        <f>IF(Input!K58=6,1,0)*Input!I58+IF(Input!T58=6,1,0)*Input!R58</f>
        <v>0</v>
      </c>
      <c r="AM52">
        <f>IF(Input!K58=7,1,0)*Input!I58+IF(Input!T58=7,1,0)*Input!R58</f>
        <v>0</v>
      </c>
      <c r="AN52">
        <f>IF(Input!K58=8,1,0)*Input!I58+IF(Input!T58=8,1,0)*Input!R58</f>
        <v>0</v>
      </c>
      <c r="AO52">
        <f>IF(Input!K58=9,1,0)*Input!I58+IF(Input!T58=9,1,0)*Input!R58</f>
        <v>0</v>
      </c>
      <c r="AP52">
        <f>IF(Input!K58=10,1,0)*Input!I58+IF(Input!T58=10,1,0)*Input!R58</f>
        <v>0</v>
      </c>
      <c r="AQ52">
        <f>IF(Input!K58=11,1,0)*Input!I58+IF(Input!T58=11,1,0)*Input!R58</f>
        <v>0</v>
      </c>
      <c r="AR52">
        <f>IF(Input!K58=12,1,0)*Input!I58+IF(Input!T58=12,1,0)*Input!R58</f>
        <v>0</v>
      </c>
      <c r="AS52">
        <f>IF(Input!K58=13,1,0)*Input!I58+IF(Input!T58=13,1,0)*Input!R58</f>
        <v>0</v>
      </c>
      <c r="AT52">
        <f>IF(Input!K58=14,1,0)*Input!I58+IF(Input!T58=14,1,0)*Input!R58</f>
        <v>0</v>
      </c>
      <c r="AU52">
        <f>IF(Input!K58=15,1,0)*Input!I58+IF(Input!T58=15,1,0)*Input!R58</f>
        <v>0</v>
      </c>
      <c r="AV52">
        <f>IF(Input!K58=16,1,0)*Input!I58+IF(Input!T58=16,1,0)*Input!R58</f>
        <v>0</v>
      </c>
    </row>
    <row r="53" spans="1:48" ht="15.75" thickBot="1" x14ac:dyDescent="0.3">
      <c r="B53">
        <f>(IF(Input!C59="Green",1,0)+IF(Input!D59="Green",1,0)+IF(Input!E59="Green",1,0)+IF(Input!F59="Green",1,0)+IF(Input!G59="Green",1,0)+IF(Input!H59="Green",1,0))*Input!A59</f>
        <v>0</v>
      </c>
      <c r="C53">
        <f>(IF(Input!C59="Red",1,0)+IF(Input!D59="Red",1,0)+IF(Input!E59="Red",1,0)+IF(Input!F59="Red",1,0)+IF(Input!G59="Red",1,0)+IF(Input!H59="Red",1,0))*Input!A59</f>
        <v>0</v>
      </c>
      <c r="D53">
        <f>(IF(Input!C59="Blue",1,0)+IF(Input!D59="Blue",1,0)+IF(Input!E59="Blue",1,0)+IF(Input!F59="Blue",1,0)+IF(Input!G59="Blue",1,0)+IF(Input!H59="Blue",1,0))*Input!A59</f>
        <v>0</v>
      </c>
      <c r="E53">
        <f>(IF(Input!C59="White",1,0)+IF(Input!D59="White",1,0)+IF(Input!E59="White",1,0)+IF(Input!F59="White",1,0)+IF(Input!G59="White",1,0)+IF(Input!H59="White",1,0))*Input!A59</f>
        <v>0</v>
      </c>
      <c r="F53">
        <f>(IF(Input!C59="Black",1,0)+IF(Input!D59="Black",1,0)+IF(Input!E59="Black",1,0)+IF(Input!F59="Black",1,0)+IF(Input!G59="Black",1,0)+IF(Input!H59="Black",1,0))*Input!A59</f>
        <v>0</v>
      </c>
      <c r="G53">
        <f>(IF(Input!C59="Colorless",1,0)+IF(Input!D59="Colorless",1,0)+IF(Input!E59="Colorless",1,0)+IF(Input!F59="Colorless",1,0)+IF(Input!G59="Colorless",1,0)+IF(Input!H59="Colorless",1,0))*Input!A59</f>
        <v>0</v>
      </c>
      <c r="J53">
        <f>(IF(Input!L59="Green",1,0)+IF(Input!M59="Green",1,0)+IF(Input!N59="Green",1,0)+IF(Input!O59="Green",1,0)+IF(Input!P59="Green",1,0))*Input!I59+(IF(Input!U59="Green",1,0)+IF(Input!V59="Green",1,0)+IF(Input!W59="Green",1,0)+IF(Input!X59="Green",1,0)+IF(Input!Y59="Green",1,0))*Input!R59</f>
        <v>0</v>
      </c>
      <c r="K53">
        <f>(IF(Input!L59="Red",1,0)+IF(Input!M59="Red",1,0)+IF(Input!N59="Red",1,0)+IF(Input!O59="Red",1,0)+IF(Input!P59="Red",1,0))*Input!I59+(IF(Input!U59="Red",1,0)+IF(Input!V59="Red",1,0)+IF(Input!W59="Red",1,0)+IF(Input!X59="Red",1,0)+IF(Input!Y59="Red",1,0))*Input!R59</f>
        <v>0</v>
      </c>
      <c r="L53">
        <f>(IF(Input!L59="Blue",1,0)+IF(Input!M59="Blue",1,0)+IF(Input!N59="Blue",1,0)+IF(Input!O59="Blue",1,0)+IF(Input!P59="Blue",1,0))*Input!I59+(IF(Input!U59="Blue",1,0)+IF(Input!V59="Blue",1,0)+IF(Input!W59="Blue",1,0)+IF(Input!X59="Blue",1,0)+IF(Input!Y59="Blue",1,0))*Input!R59</f>
        <v>0</v>
      </c>
      <c r="M53">
        <f>(IF(Input!L59="White",1,0)+IF(Input!M59="White",1,0)+IF(Input!N59="White",1,0)+IF(Input!O59="White",1,0)+IF(Input!P59="White",1,0))*Input!I59+(IF(Input!U59="White",1,0)+IF(Input!V59="White",1,0)+IF(Input!W59="White",1,0)+IF(Input!X59="White",1,0)+IF(Input!Y59="White",1,0))*Input!R59</f>
        <v>0</v>
      </c>
      <c r="N53">
        <f>(IF(Input!L59="Black",1,0)+IF(Input!M59="Black",1,0)+IF(Input!N59="Black",1,0)+IF(Input!O59="Black",1,0)+IF(Input!P59="Black",1,0))*Input!I59+(IF(Input!U59="Black",1,0)+IF(Input!V59="Black",1,0)+IF(Input!W59="Black",1,0)+IF(Input!X59="Black",1,0)+IF(Input!Y59="Black",1,0))*Input!R59</f>
        <v>0</v>
      </c>
      <c r="O53">
        <f>(IF(Input!L59="Colorless",1,0)+IF(Input!M59="Colorless",1,0)+IF(Input!N59="Colorless",1,0)+IF(Input!O59="Colorless",1,0)+IF(Input!P59="Colorless",1,0))*Input!I59+(IF(Input!U59="Colorless",1,0)+IF(Input!V59="Colorless",1,0)+IF(Input!W59="Colorless",1,0)+IF(Input!X59="Colorless",1,0)+IF(Input!Y59="Colorless",1,0))*Input!R59</f>
        <v>0</v>
      </c>
      <c r="Q53">
        <f>(IF(Input!Q59="Sorcery",1,0))*Input!I59+(IF(Input!Z59="Sorcery",1,0))*Input!R59</f>
        <v>0</v>
      </c>
      <c r="R53">
        <f>(IF(Input!Q59="Instant",1,0))*Input!I59+(IF(Input!Z59="Instant",1,0))*Input!R59</f>
        <v>0</v>
      </c>
      <c r="S53">
        <f>(IF(Input!Q59="Artifact",1,0))*Input!I59+(IF(Input!Z59="Artifact",1,0))*Input!R59</f>
        <v>0</v>
      </c>
      <c r="T53">
        <f>(IF(Input!Q59="Enchantment",1,0))*Input!I59+(IF(Input!Z59="Enchantment",1,0))*Input!R59</f>
        <v>0</v>
      </c>
      <c r="U53">
        <f>(IF(Input!Q59="Creature",1,0))*Input!I59+(IF(Input!Z59="Creature",1,0))*Input!R59</f>
        <v>0</v>
      </c>
      <c r="V53">
        <f>(IF(Input!Q59="Planeswalker",1,0))*Input!I59+(IF(Input!Z59="Planeswalker",1,0))*Input!R59</f>
        <v>0</v>
      </c>
      <c r="AF53">
        <f>IF(Input!K59=0,1,0)*Input!I59+IF(Input!T59=0,1,0)*Input!R59</f>
        <v>0</v>
      </c>
      <c r="AG53">
        <f>IF(Input!K59=1,1,0)*Input!I59+IF(Input!T59=1,1,0)*Input!R59</f>
        <v>0</v>
      </c>
      <c r="AH53">
        <f>IF(Input!K59=2,1,0)*Input!I59+IF(Input!T59=2,1,0)*Input!R59</f>
        <v>0</v>
      </c>
      <c r="AI53">
        <f>IF(Input!K59=3,1,0)*Input!I60+IF(Input!T59=3,1,0)*Input!R59</f>
        <v>0</v>
      </c>
      <c r="AJ53">
        <f>IF(Input!K59=4,1,0)*Input!I59+IF(Input!T59=4,1,0)*Input!R59</f>
        <v>0</v>
      </c>
      <c r="AK53">
        <f>IF(Input!K59=5,1,0)*Input!I59+IF(Input!T59=5,1,0)*Input!R59</f>
        <v>0</v>
      </c>
      <c r="AL53">
        <f>IF(Input!K59=6,1,0)*Input!I59+IF(Input!T59=6,1,0)*Input!R59</f>
        <v>0</v>
      </c>
      <c r="AM53">
        <f>IF(Input!K59=7,1,0)*Input!I59+IF(Input!T59=7,1,0)*Input!R59</f>
        <v>0</v>
      </c>
      <c r="AN53">
        <f>IF(Input!K59=8,1,0)*Input!I59+IF(Input!T59=8,1,0)*Input!R59</f>
        <v>0</v>
      </c>
      <c r="AO53">
        <f>IF(Input!K59=9,1,0)*Input!I59+IF(Input!T59=9,1,0)*Input!R59</f>
        <v>0</v>
      </c>
      <c r="AP53">
        <f>IF(Input!K59=10,1,0)*Input!I59+IF(Input!T59=10,1,0)*Input!R59</f>
        <v>0</v>
      </c>
      <c r="AQ53">
        <f>IF(Input!K59=11,1,0)*Input!I59+IF(Input!T59=11,1,0)*Input!R59</f>
        <v>0</v>
      </c>
      <c r="AR53">
        <f>IF(Input!K59=12,1,0)*Input!I59+IF(Input!T59=12,1,0)*Input!R59</f>
        <v>0</v>
      </c>
      <c r="AS53">
        <f>IF(Input!K59=13,1,0)*Input!I59+IF(Input!T59=13,1,0)*Input!R59</f>
        <v>0</v>
      </c>
      <c r="AT53">
        <f>IF(Input!K59=14,1,0)*Input!I59+IF(Input!T59=14,1,0)*Input!R59</f>
        <v>0</v>
      </c>
      <c r="AU53">
        <f>IF(Input!K59=15,1,0)*Input!I59+IF(Input!T59=15,1,0)*Input!R59</f>
        <v>0</v>
      </c>
      <c r="AV53">
        <f>IF(Input!K59=16,1,0)*Input!I59+IF(Input!T59=16,1,0)*Input!R59</f>
        <v>0</v>
      </c>
    </row>
    <row r="54" spans="1:48" ht="15.75" thickBot="1" x14ac:dyDescent="0.3">
      <c r="A54" s="10" t="s">
        <v>25</v>
      </c>
      <c r="B54" s="11">
        <f>SUM(B3:B53)</f>
        <v>0</v>
      </c>
      <c r="C54" s="11">
        <f>SUM(C3:C53)</f>
        <v>0</v>
      </c>
      <c r="D54" s="11">
        <f t="shared" ref="D54:F54" si="0">SUM(D3:D53)</f>
        <v>0</v>
      </c>
      <c r="E54" s="11">
        <f t="shared" si="0"/>
        <v>0</v>
      </c>
      <c r="F54" s="11">
        <f t="shared" si="0"/>
        <v>0</v>
      </c>
      <c r="G54" s="13">
        <f>SUM(G3:G53)</f>
        <v>0</v>
      </c>
      <c r="I54" t="s">
        <v>32</v>
      </c>
      <c r="J54" s="10">
        <f>SUM(J3:J53)</f>
        <v>0</v>
      </c>
      <c r="K54" s="11">
        <f t="shared" ref="K54:V54" si="1">SUM(K3:K53)</f>
        <v>0</v>
      </c>
      <c r="L54" s="11">
        <f t="shared" si="1"/>
        <v>0</v>
      </c>
      <c r="M54" s="11">
        <f t="shared" si="1"/>
        <v>0</v>
      </c>
      <c r="N54" s="11">
        <f t="shared" si="1"/>
        <v>0</v>
      </c>
      <c r="O54" s="13">
        <f t="shared" si="1"/>
        <v>0</v>
      </c>
      <c r="P54" t="s">
        <v>33</v>
      </c>
      <c r="Q54" s="10">
        <f t="shared" si="1"/>
        <v>0</v>
      </c>
      <c r="R54" s="11">
        <f t="shared" si="1"/>
        <v>0</v>
      </c>
      <c r="S54" s="11">
        <f t="shared" si="1"/>
        <v>0</v>
      </c>
      <c r="T54" s="11">
        <f t="shared" si="1"/>
        <v>0</v>
      </c>
      <c r="U54" s="11">
        <f t="shared" si="1"/>
        <v>0</v>
      </c>
      <c r="V54" s="13">
        <f t="shared" si="1"/>
        <v>0</v>
      </c>
      <c r="AF54" s="10">
        <f>SUM(AF3:AF53)</f>
        <v>0</v>
      </c>
      <c r="AG54" s="11">
        <f>SUM(AG3:AG53)</f>
        <v>0</v>
      </c>
      <c r="AH54" s="11">
        <f t="shared" ref="AH54:AT54" si="2">SUM(AH3:AH53)</f>
        <v>0</v>
      </c>
      <c r="AI54" s="11">
        <f t="shared" si="2"/>
        <v>0</v>
      </c>
      <c r="AJ54" s="11">
        <f t="shared" si="2"/>
        <v>0</v>
      </c>
      <c r="AK54" s="11">
        <f t="shared" si="2"/>
        <v>0</v>
      </c>
      <c r="AL54" s="11">
        <f t="shared" si="2"/>
        <v>0</v>
      </c>
      <c r="AM54" s="11">
        <f t="shared" si="2"/>
        <v>0</v>
      </c>
      <c r="AN54" s="11">
        <f t="shared" si="2"/>
        <v>0</v>
      </c>
      <c r="AO54" s="11">
        <f t="shared" si="2"/>
        <v>0</v>
      </c>
      <c r="AP54" s="11">
        <f t="shared" si="2"/>
        <v>0</v>
      </c>
      <c r="AQ54" s="11">
        <f t="shared" si="2"/>
        <v>0</v>
      </c>
      <c r="AR54" s="11">
        <f t="shared" si="2"/>
        <v>0</v>
      </c>
      <c r="AS54" s="11">
        <f t="shared" si="2"/>
        <v>0</v>
      </c>
      <c r="AT54" s="11">
        <f t="shared" si="2"/>
        <v>0</v>
      </c>
      <c r="AU54" s="11">
        <f>SUM(AU3:AU53)</f>
        <v>0</v>
      </c>
      <c r="AV54" s="13">
        <f>SUM(AV3:AV53)</f>
        <v>0</v>
      </c>
    </row>
    <row r="55" spans="1:48" ht="15.75" thickBot="1" x14ac:dyDescent="0.3">
      <c r="B55" t="s">
        <v>19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J55" t="s">
        <v>19</v>
      </c>
      <c r="K55" t="s">
        <v>20</v>
      </c>
      <c r="L55" t="s">
        <v>21</v>
      </c>
      <c r="M55" t="s">
        <v>22</v>
      </c>
      <c r="N55" t="s">
        <v>23</v>
      </c>
      <c r="O55" t="s">
        <v>24</v>
      </c>
      <c r="AF55" s="10">
        <v>0</v>
      </c>
      <c r="AG55" s="11">
        <v>1</v>
      </c>
      <c r="AH55" s="11">
        <v>2</v>
      </c>
      <c r="AI55" s="11">
        <v>3</v>
      </c>
      <c r="AJ55" s="11">
        <v>4</v>
      </c>
      <c r="AK55" s="11">
        <v>5</v>
      </c>
      <c r="AL55" s="11">
        <v>6</v>
      </c>
      <c r="AM55" s="11">
        <v>7</v>
      </c>
      <c r="AN55" s="11">
        <v>8</v>
      </c>
      <c r="AO55" s="11">
        <v>9</v>
      </c>
      <c r="AP55" s="11">
        <v>10</v>
      </c>
      <c r="AQ55" s="11">
        <v>11</v>
      </c>
      <c r="AR55" s="11">
        <v>12</v>
      </c>
      <c r="AS55" s="11">
        <v>13</v>
      </c>
      <c r="AT55" s="11">
        <v>14</v>
      </c>
      <c r="AU55" s="11">
        <v>15</v>
      </c>
      <c r="AV55" s="13">
        <v>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workbookViewId="0">
      <selection activeCell="X17" sqref="X17"/>
    </sheetView>
  </sheetViews>
  <sheetFormatPr defaultRowHeight="15" x14ac:dyDescent="0.25"/>
  <cols>
    <col min="1" max="1" width="11.42578125" bestFit="1" customWidth="1"/>
    <col min="13" max="13" width="11.7109375" bestFit="1" customWidth="1"/>
  </cols>
  <sheetData>
    <row r="1" spans="1:13" x14ac:dyDescent="0.25">
      <c r="A1" t="s">
        <v>38</v>
      </c>
      <c r="M1" t="s">
        <v>39</v>
      </c>
    </row>
    <row r="22" spans="1:17" x14ac:dyDescent="0.25">
      <c r="A22" t="s">
        <v>41</v>
      </c>
      <c r="I22" t="s">
        <v>40</v>
      </c>
      <c r="Q22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Calculations</vt:lpstr>
      <vt:lpstr>Graphs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kolen</dc:creator>
  <cp:lastModifiedBy>raymond kolen</cp:lastModifiedBy>
  <dcterms:created xsi:type="dcterms:W3CDTF">2016-12-17T11:26:34Z</dcterms:created>
  <dcterms:modified xsi:type="dcterms:W3CDTF">2017-01-06T13:20:18Z</dcterms:modified>
</cp:coreProperties>
</file>